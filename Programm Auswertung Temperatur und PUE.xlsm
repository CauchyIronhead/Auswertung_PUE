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lfst-nfi0001\homes$\Katharina.Eisenhut\Desktop\"/>
    </mc:Choice>
  </mc:AlternateContent>
  <xr:revisionPtr revIDLastSave="0" documentId="13_ncr:1_{47DC455C-AB59-488C-8ED3-938861516850}" xr6:coauthVersionLast="47" xr6:coauthVersionMax="47" xr10:uidLastSave="{00000000-0000-0000-0000-000000000000}"/>
  <bookViews>
    <workbookView xWindow="9750" yWindow="-18960" windowWidth="22785" windowHeight="17070" xr2:uid="{5A78BC19-4C9A-4458-A5A9-4969DA293CDA}"/>
  </bookViews>
  <sheets>
    <sheet name="Programm" sheetId="1" r:id="rId1"/>
    <sheet name="Auswertung_Zeit" sheetId="2" r:id="rId2"/>
    <sheet name="Auswertung_PUE" sheetId="3" r:id="rId3"/>
    <sheet name="Format-Vorlage-Tabellen" sheetId="4" state="hidden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3" i="3" l="1"/>
  <c r="H43" i="3"/>
  <c r="H44" i="3"/>
  <c r="H45" i="3"/>
  <c r="H46" i="3"/>
  <c r="H47" i="3"/>
  <c r="H48" i="3"/>
  <c r="H49" i="3"/>
  <c r="H50" i="3"/>
  <c r="H51" i="3"/>
  <c r="H52" i="3"/>
  <c r="H42" i="3"/>
</calcChain>
</file>

<file path=xl/sharedStrings.xml><?xml version="1.0" encoding="utf-8"?>
<sst xmlns="http://schemas.openxmlformats.org/spreadsheetml/2006/main" count="43" uniqueCount="31">
  <si>
    <t>Programm zur Temperatur-Auswertung</t>
  </si>
  <si>
    <t>Datengrundlage auswählen</t>
  </si>
  <si>
    <t xml:space="preserve">Von </t>
  </si>
  <si>
    <t>Bis</t>
  </si>
  <si>
    <t>*</t>
  </si>
  <si>
    <t>Diagramme</t>
  </si>
  <si>
    <t>Tabellen</t>
  </si>
  <si>
    <t>Durchschnitt</t>
  </si>
  <si>
    <t>Standardabweichung</t>
  </si>
  <si>
    <t>Stunden im Jahr über der Zieltemperatur</t>
  </si>
  <si>
    <t>Stunden im Jahr unter der Zieltemperatur</t>
  </si>
  <si>
    <t>Auswertung der Zeit</t>
  </si>
  <si>
    <t>Auswertung des PUE</t>
  </si>
  <si>
    <t xml:space="preserve">Formel </t>
  </si>
  <si>
    <t>Tabelle</t>
  </si>
  <si>
    <t>Diagramm</t>
  </si>
  <si>
    <t>Einstellungen der Voraussetzungen</t>
  </si>
  <si>
    <t>Temp</t>
  </si>
  <si>
    <t>Bitte den Zeitraum für die Datenauswertung auswählen!</t>
  </si>
  <si>
    <t>Bitte die betreffende Datei des Wetterdiensts auswählen!</t>
  </si>
  <si>
    <t>Prozentuale Auswertung der Stunden im Jahr über der Zieltemperatur</t>
  </si>
  <si>
    <t>x &gt; Temp</t>
  </si>
  <si>
    <t>x &lt; Temp</t>
  </si>
  <si>
    <t>𝑃𝑈𝐸</t>
  </si>
  <si>
    <t>𝜀</t>
  </si>
  <si>
    <t>∆𝜀</t>
  </si>
  <si>
    <t>+ ∆𝜀</t>
  </si>
  <si>
    <t xml:space="preserve"> - ∆𝜀</t>
  </si>
  <si>
    <t>𝝀</t>
  </si>
  <si>
    <t>widetile
{PUE}</t>
  </si>
  <si>
    <t xml:space="preserve">Bitte auf die verfügbaren Jahre der Datengrundlage achten!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</si>
</sst>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.#0\°"/>
    <numFmt numFmtId="165" formatCode="0.0000"/>
    <numFmt numFmtId="166" formatCode="0.000"/>
  </numFmts>
  <fonts count="11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4"/>
      <color theme="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i/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3">
    <xf numFmtId="0" fontId="0" fillId="0" borderId="0" xfId="0"/>
    <xf numFmtId="0" fontId="5" fillId="2" borderId="0" xfId="0" applyFont="1" applyFill="1"/>
    <xf numFmtId="0" fontId="2" fillId="3" borderId="0" xfId="0" applyFont="1" applyFill="1"/>
    <xf numFmtId="0" fontId="0" fillId="3" borderId="0" xfId="0" applyFill="1"/>
    <xf numFmtId="0" fontId="2" fillId="4" borderId="0" xfId="0" applyFont="1" applyFill="1"/>
    <xf numFmtId="0" fontId="2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right" vertical="center"/>
    </xf>
    <xf numFmtId="0" fontId="5" fillId="0" borderId="0" xfId="0" applyFont="1" applyFill="1"/>
    <xf numFmtId="0" fontId="0" fillId="0" borderId="0" xfId="0" applyFill="1"/>
    <xf numFmtId="0" fontId="2" fillId="0" borderId="0" xfId="0" applyFont="1" applyFill="1"/>
    <xf numFmtId="0" fontId="0" fillId="5" borderId="1" xfId="0" applyFill="1" applyBorder="1" applyAlignment="1">
      <alignment horizontal="center" vertical="center"/>
    </xf>
    <xf numFmtId="164" fontId="3" fillId="5" borderId="2" xfId="0" applyNumberFormat="1" applyFont="1" applyFill="1" applyBorder="1" applyAlignment="1">
      <alignment horizontal="center"/>
    </xf>
    <xf numFmtId="164" fontId="3" fillId="5" borderId="3" xfId="0" applyNumberFormat="1" applyFont="1" applyFill="1" applyBorder="1" applyAlignment="1">
      <alignment horizontal="center"/>
    </xf>
    <xf numFmtId="164" fontId="3" fillId="5" borderId="4" xfId="0" applyNumberFormat="1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 vertical="center"/>
    </xf>
    <xf numFmtId="10" fontId="0" fillId="0" borderId="6" xfId="0" applyNumberFormat="1" applyBorder="1"/>
    <xf numFmtId="0" fontId="3" fillId="7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/>
    </xf>
    <xf numFmtId="10" fontId="3" fillId="8" borderId="2" xfId="1" applyNumberFormat="1" applyFont="1" applyFill="1" applyBorder="1"/>
    <xf numFmtId="10" fontId="3" fillId="8" borderId="3" xfId="1" applyNumberFormat="1" applyFont="1" applyFill="1" applyBorder="1"/>
    <xf numFmtId="10" fontId="3" fillId="8" borderId="4" xfId="1" applyNumberFormat="1" applyFont="1" applyFill="1" applyBorder="1"/>
    <xf numFmtId="10" fontId="1" fillId="7" borderId="2" xfId="1" applyNumberFormat="1" applyFont="1" applyFill="1" applyBorder="1"/>
    <xf numFmtId="10" fontId="1" fillId="7" borderId="3" xfId="1" applyNumberFormat="1" applyFont="1" applyFill="1" applyBorder="1"/>
    <xf numFmtId="10" fontId="1" fillId="7" borderId="4" xfId="1" applyNumberFormat="1" applyFont="1" applyFill="1" applyBorder="1"/>
    <xf numFmtId="0" fontId="3" fillId="8" borderId="2" xfId="1" applyNumberFormat="1" applyFont="1" applyFill="1" applyBorder="1"/>
    <xf numFmtId="0" fontId="3" fillId="8" borderId="3" xfId="1" applyNumberFormat="1" applyFont="1" applyFill="1" applyBorder="1"/>
    <xf numFmtId="0" fontId="3" fillId="8" borderId="4" xfId="1" applyNumberFormat="1" applyFont="1" applyFill="1" applyBorder="1"/>
    <xf numFmtId="0" fontId="1" fillId="7" borderId="2" xfId="1" applyNumberFormat="1" applyFont="1" applyFill="1" applyBorder="1"/>
    <xf numFmtId="0" fontId="1" fillId="7" borderId="3" xfId="1" applyNumberFormat="1" applyFont="1" applyFill="1" applyBorder="1"/>
    <xf numFmtId="0" fontId="1" fillId="7" borderId="4" xfId="1" applyNumberFormat="1" applyFont="1" applyFill="1" applyBorder="1"/>
    <xf numFmtId="0" fontId="0" fillId="0" borderId="6" xfId="0" applyBorder="1"/>
    <xf numFmtId="0" fontId="3" fillId="0" borderId="0" xfId="0" applyFont="1" applyFill="1" applyBorder="1" applyAlignment="1">
      <alignment horizontal="center" vertical="center" wrapText="1"/>
    </xf>
    <xf numFmtId="10" fontId="1" fillId="0" borderId="0" xfId="1" applyNumberFormat="1" applyFont="1" applyFill="1" applyBorder="1"/>
    <xf numFmtId="10" fontId="0" fillId="0" borderId="7" xfId="0" applyNumberFormat="1" applyBorder="1"/>
    <xf numFmtId="0" fontId="0" fillId="0" borderId="7" xfId="0" applyBorder="1"/>
    <xf numFmtId="0" fontId="3" fillId="5" borderId="1" xfId="0" applyFont="1" applyFill="1" applyBorder="1" applyAlignment="1">
      <alignment horizontal="center" vertical="center"/>
    </xf>
    <xf numFmtId="164" fontId="3" fillId="6" borderId="8" xfId="0" applyNumberFormat="1" applyFont="1" applyFill="1" applyBorder="1" applyAlignment="1">
      <alignment horizontal="center"/>
    </xf>
    <xf numFmtId="164" fontId="3" fillId="6" borderId="5" xfId="0" applyNumberFormat="1" applyFont="1" applyFill="1" applyBorder="1" applyAlignment="1">
      <alignment horizontal="center"/>
    </xf>
    <xf numFmtId="0" fontId="0" fillId="0" borderId="9" xfId="0" applyBorder="1"/>
    <xf numFmtId="164" fontId="3" fillId="6" borderId="10" xfId="0" applyNumberFormat="1" applyFont="1" applyFill="1" applyBorder="1" applyAlignment="1">
      <alignment horizontal="center"/>
    </xf>
    <xf numFmtId="0" fontId="4" fillId="0" borderId="0" xfId="0" applyFont="1"/>
    <xf numFmtId="0" fontId="10" fillId="6" borderId="6" xfId="0" applyFont="1" applyFill="1" applyBorder="1"/>
    <xf numFmtId="0" fontId="0" fillId="6" borderId="6" xfId="0" applyFill="1" applyBorder="1"/>
    <xf numFmtId="0" fontId="0" fillId="0" borderId="6" xfId="1" applyNumberFormat="1" applyFont="1" applyBorder="1"/>
    <xf numFmtId="165" fontId="0" fillId="0" borderId="6" xfId="0" applyNumberFormat="1" applyBorder="1"/>
    <xf numFmtId="0" fontId="3" fillId="5" borderId="1" xfId="0" quotePrefix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166" fontId="0" fillId="0" borderId="6" xfId="0" applyNumberFormat="1" applyBorder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de-DE"/>
              <a:t>Durchschnitt</a:t>
            </a:r>
            <a:r>
              <a:rPr lang="de-DE" baseline="0"/>
              <a:t> der p</a:t>
            </a:r>
            <a:r>
              <a:rPr lang="de-DE"/>
              <a:t>rozentualen Anzahl der Stunden im Jahr über</a:t>
            </a:r>
            <a:r>
              <a:rPr lang="de-DE" baseline="0"/>
              <a:t> der</a:t>
            </a:r>
            <a:r>
              <a:rPr lang="de-DE"/>
              <a:t> Zieltemperatur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[1]Tabelle1!$K$17:$K$19</c:f>
                <c:numCache>
                  <c:formatCode>General</c:formatCode>
                  <c:ptCount val="3"/>
                  <c:pt idx="0">
                    <c:v>1.1384335154826958E-4</c:v>
                  </c:pt>
                  <c:pt idx="1">
                    <c:v>3.1963470319634705E-3</c:v>
                  </c:pt>
                  <c:pt idx="2">
                    <c:v>5.2511415525114159E-3</c:v>
                  </c:pt>
                </c:numCache>
              </c:numRef>
            </c:plus>
            <c:minus>
              <c:numRef>
                <c:f>[1]Tabelle1!$K$17:$K$19</c:f>
                <c:numCache>
                  <c:formatCode>General</c:formatCode>
                  <c:ptCount val="3"/>
                  <c:pt idx="0">
                    <c:v>1.1384335154826958E-4</c:v>
                  </c:pt>
                  <c:pt idx="1">
                    <c:v>3.1963470319634705E-3</c:v>
                  </c:pt>
                  <c:pt idx="2">
                    <c:v>5.2511415525114159E-3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Auswertung_Zeit!$B$42:$L$42</c:f>
                <c:numCache>
                  <c:formatCode>General</c:formatCode>
                  <c:ptCount val="11"/>
                  <c:pt idx="0">
                    <c:v>2.4988338860817361E-2</c:v>
                  </c:pt>
                  <c:pt idx="1">
                    <c:v>2.3410329959393301E-2</c:v>
                  </c:pt>
                  <c:pt idx="2">
                    <c:v>1.9088283776135827E-2</c:v>
                  </c:pt>
                  <c:pt idx="3">
                    <c:v>1.6854590672904124E-2</c:v>
                  </c:pt>
                  <c:pt idx="4">
                    <c:v>1.3726582252373406E-2</c:v>
                  </c:pt>
                  <c:pt idx="5">
                    <c:v>1.0517412787017505E-2</c:v>
                  </c:pt>
                  <c:pt idx="6">
                    <c:v>7.2255384526142353E-3</c:v>
                  </c:pt>
                  <c:pt idx="7">
                    <c:v>3.6888577058307088E-3</c:v>
                  </c:pt>
                  <c:pt idx="8">
                    <c:v>2.4855569977706637E-3</c:v>
                  </c:pt>
                  <c:pt idx="9">
                    <c:v>1.4430345551387266E-3</c:v>
                  </c:pt>
                  <c:pt idx="10">
                    <c:v>5.6040819266506259E-4</c:v>
                  </c:pt>
                </c:numCache>
              </c:numRef>
            </c:plus>
            <c:minus>
              <c:numRef>
                <c:f>Auswertung_Zeit!$B$42:$L$42</c:f>
                <c:numCache>
                  <c:formatCode>General</c:formatCode>
                  <c:ptCount val="11"/>
                  <c:pt idx="0">
                    <c:v>2.4988338860817361E-2</c:v>
                  </c:pt>
                  <c:pt idx="1">
                    <c:v>2.3410329959393301E-2</c:v>
                  </c:pt>
                  <c:pt idx="2">
                    <c:v>1.9088283776135827E-2</c:v>
                  </c:pt>
                  <c:pt idx="3">
                    <c:v>1.6854590672904124E-2</c:v>
                  </c:pt>
                  <c:pt idx="4">
                    <c:v>1.3726582252373406E-2</c:v>
                  </c:pt>
                  <c:pt idx="5">
                    <c:v>1.0517412787017505E-2</c:v>
                  </c:pt>
                  <c:pt idx="6">
                    <c:v>7.2255384526142353E-3</c:v>
                  </c:pt>
                  <c:pt idx="7">
                    <c:v>3.6888577058307088E-3</c:v>
                  </c:pt>
                  <c:pt idx="8">
                    <c:v>2.4855569977706637E-3</c:v>
                  </c:pt>
                  <c:pt idx="9">
                    <c:v>1.4430345551387266E-3</c:v>
                  </c:pt>
                  <c:pt idx="10">
                    <c:v>5.6040819266506259E-4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xVal>
            <c:numRef>
              <c:f>Auswertung_Zeit!$B$29:$L$29</c:f>
              <c:numCache>
                <c:formatCode>#.#0\°</c:formatCode>
                <c:ptCount val="1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xVal>
          <c:yVal>
            <c:numRef>
              <c:f>Auswertung_Zeit!$B$41:$L$41</c:f>
              <c:numCache>
                <c:formatCode>0.00%</c:formatCode>
                <c:ptCount val="11"/>
                <c:pt idx="0">
                  <c:v>8.3651159018888643E-2</c:v>
                </c:pt>
                <c:pt idx="1">
                  <c:v>6.5982826808393846E-2</c:v>
                </c:pt>
                <c:pt idx="2">
                  <c:v>5.0027135264615614E-2</c:v>
                </c:pt>
                <c:pt idx="3">
                  <c:v>3.7945392619208027E-2</c:v>
                </c:pt>
                <c:pt idx="4">
                  <c:v>2.9797483594081395E-2</c:v>
                </c:pt>
                <c:pt idx="5">
                  <c:v>2.1934650797215363E-2</c:v>
                </c:pt>
                <c:pt idx="6">
                  <c:v>1.5154889338024304E-2</c:v>
                </c:pt>
                <c:pt idx="7">
                  <c:v>9.9143523716845074E-3</c:v>
                </c:pt>
                <c:pt idx="8">
                  <c:v>6.8945405095191753E-3</c:v>
                </c:pt>
                <c:pt idx="9">
                  <c:v>4.1025713002470245E-3</c:v>
                </c:pt>
                <c:pt idx="10">
                  <c:v>1.9944419492476982E-3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FA-4FD2-AA3F-C229E43B8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46191"/>
        <c:axId val="101158671"/>
      </c:scatterChart>
      <c:valAx>
        <c:axId val="101146191"/>
        <c:scaling>
          <c:orientation val="minMax"/>
          <c:min val="2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Zieltemperatur</a:t>
                </a:r>
                <a:r>
                  <a:rPr lang="de-DE" baseline="0"/>
                  <a:t> im Serverraum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.#0\°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1158671"/>
        <c:crosses val="autoZero"/>
        <c:crossBetween val="midCat"/>
      </c:valAx>
      <c:valAx>
        <c:axId val="10115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Prozent </a:t>
                </a:r>
                <a:r>
                  <a:rPr lang="de-DE" baseline="0"/>
                  <a:t> der Stunden im Jahr über der Zeiltemperatur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1146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Anzahl an Stunden über Zieltemperatur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Auswertung_Zeit!$B$29</c:f>
              <c:strCache>
                <c:ptCount val="1"/>
                <c:pt idx="0">
                  <c:v>22.0°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Auswertung_Zeit!$A$30:$A$41</c:f>
              <c:strCache>
                <c:ptCount val="12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Durchschnitt</c:v>
                </c:pt>
              </c:strCache>
            </c:strRef>
          </c:cat>
          <c:val>
            <c:numRef>
              <c:f>Auswertung_Zeit!$B$30:$B$40</c:f>
              <c:numCache>
                <c:formatCode>0.00%</c:formatCode>
                <c:ptCount val="11"/>
                <c:pt idx="0">
                  <c:v>6.5981735159817353E-2</c:v>
                </c:pt>
                <c:pt idx="1">
                  <c:v>9.4977168949771693E-2</c:v>
                </c:pt>
                <c:pt idx="2">
                  <c:v>8.3105646630236799E-2</c:v>
                </c:pt>
                <c:pt idx="3">
                  <c:v>8.8584474885844755E-2</c:v>
                </c:pt>
                <c:pt idx="4">
                  <c:v>0.13926940639269406</c:v>
                </c:pt>
                <c:pt idx="5">
                  <c:v>0.10171232876712329</c:v>
                </c:pt>
                <c:pt idx="6">
                  <c:v>8.7090163934426229E-2</c:v>
                </c:pt>
                <c:pt idx="7">
                  <c:v>7.0091324200913241E-2</c:v>
                </c:pt>
                <c:pt idx="8">
                  <c:v>0.11267123287671232</c:v>
                </c:pt>
                <c:pt idx="9">
                  <c:v>0.10799086757990868</c:v>
                </c:pt>
                <c:pt idx="10">
                  <c:v>0.10132058287795993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9-4408-BC0F-EE5404890DDC}"/>
            </c:ext>
          </c:extLst>
        </c:ser>
        <c:ser>
          <c:idx val="1"/>
          <c:order val="1"/>
          <c:tx>
            <c:strRef>
              <c:f>Auswertung_Zeit!$C$29</c:f>
              <c:strCache>
                <c:ptCount val="1"/>
                <c:pt idx="0">
                  <c:v>23.0°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numCache>
            </c:numRef>
          </c:cat>
          <c:val>
            <c:numRef>
              <c:f>Auswertung_Zeit!$C$30:$C$40</c:f>
              <c:numCache>
                <c:formatCode>0.00%</c:formatCode>
                <c:ptCount val="11"/>
                <c:pt idx="0">
                  <c:v>4.942922374429224E-2</c:v>
                </c:pt>
                <c:pt idx="1">
                  <c:v>8.0821917808219179E-2</c:v>
                </c:pt>
                <c:pt idx="2">
                  <c:v>6.62568306010929E-2</c:v>
                </c:pt>
                <c:pt idx="3">
                  <c:v>7.2374429223744291E-2</c:v>
                </c:pt>
                <c:pt idx="4">
                  <c:v>0.11689497716894977</c:v>
                </c:pt>
                <c:pt idx="5">
                  <c:v>8.253424657534246E-2</c:v>
                </c:pt>
                <c:pt idx="6">
                  <c:v>6.9102914389799638E-2</c:v>
                </c:pt>
                <c:pt idx="7">
                  <c:v>5.3538812785388128E-2</c:v>
                </c:pt>
                <c:pt idx="8">
                  <c:v>9.3378995433789955E-2</c:v>
                </c:pt>
                <c:pt idx="9">
                  <c:v>8.6073059360730592E-2</c:v>
                </c:pt>
                <c:pt idx="10">
                  <c:v>8.2536429872495445E-2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C9-4408-BC0F-EE5404890DDC}"/>
            </c:ext>
          </c:extLst>
        </c:ser>
        <c:ser>
          <c:idx val="2"/>
          <c:order val="2"/>
          <c:tx>
            <c:strRef>
              <c:f>Auswertung_Zeit!$D$29</c:f>
              <c:strCache>
                <c:ptCount val="1"/>
                <c:pt idx="0">
                  <c:v>24.0°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numCache>
            </c:numRef>
          </c:cat>
          <c:val>
            <c:numRef>
              <c:f>Auswertung_Zeit!$D$30:$D$40</c:f>
              <c:numCache>
                <c:formatCode>0.00%</c:formatCode>
                <c:ptCount val="11"/>
                <c:pt idx="0">
                  <c:v>3.6529680365296802E-2</c:v>
                </c:pt>
                <c:pt idx="1">
                  <c:v>7.0205479452054798E-2</c:v>
                </c:pt>
                <c:pt idx="2">
                  <c:v>5.1912568306010931E-2</c:v>
                </c:pt>
                <c:pt idx="3">
                  <c:v>5.6164383561643834E-2</c:v>
                </c:pt>
                <c:pt idx="4">
                  <c:v>9.3721461187214611E-2</c:v>
                </c:pt>
                <c:pt idx="5">
                  <c:v>6.609589041095891E-2</c:v>
                </c:pt>
                <c:pt idx="6">
                  <c:v>5.3051001821493624E-2</c:v>
                </c:pt>
                <c:pt idx="7">
                  <c:v>3.801369863013699E-2</c:v>
                </c:pt>
                <c:pt idx="8">
                  <c:v>7.8652968036529686E-2</c:v>
                </c:pt>
                <c:pt idx="9">
                  <c:v>6.6438356164383566E-2</c:v>
                </c:pt>
                <c:pt idx="10">
                  <c:v>6.3524590163934427E-2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C9-4408-BC0F-EE5404890DDC}"/>
            </c:ext>
          </c:extLst>
        </c:ser>
        <c:ser>
          <c:idx val="3"/>
          <c:order val="3"/>
          <c:tx>
            <c:strRef>
              <c:f>Auswertung_Zeit!$E$29</c:f>
              <c:strCache>
                <c:ptCount val="1"/>
                <c:pt idx="0">
                  <c:v>25.0°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numCache>
            </c:numRef>
          </c:cat>
          <c:val>
            <c:numRef>
              <c:f>Auswertung_Zeit!$E$30:$E$40</c:f>
              <c:numCache>
                <c:formatCode>0.00%</c:formatCode>
                <c:ptCount val="11"/>
                <c:pt idx="0">
                  <c:v>2.6027397260273973E-2</c:v>
                </c:pt>
                <c:pt idx="1">
                  <c:v>5.9474885844748859E-2</c:v>
                </c:pt>
                <c:pt idx="2">
                  <c:v>3.8365209471766852E-2</c:v>
                </c:pt>
                <c:pt idx="3">
                  <c:v>4.1666666666666664E-2</c:v>
                </c:pt>
                <c:pt idx="4">
                  <c:v>7.5570776255707767E-2</c:v>
                </c:pt>
                <c:pt idx="5">
                  <c:v>5.2968036529680365E-2</c:v>
                </c:pt>
                <c:pt idx="6">
                  <c:v>4.04143897996357E-2</c:v>
                </c:pt>
                <c:pt idx="7">
                  <c:v>2.4657534246575342E-2</c:v>
                </c:pt>
                <c:pt idx="8">
                  <c:v>6.3356164383561647E-2</c:v>
                </c:pt>
                <c:pt idx="9">
                  <c:v>5.171232876712329E-2</c:v>
                </c:pt>
                <c:pt idx="10">
                  <c:v>4.9863387978142076E-2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C9-4408-BC0F-EE5404890DDC}"/>
            </c:ext>
          </c:extLst>
        </c:ser>
        <c:ser>
          <c:idx val="4"/>
          <c:order val="4"/>
          <c:tx>
            <c:strRef>
              <c:f>Auswertung_Zeit!$F$29</c:f>
              <c:strCache>
                <c:ptCount val="1"/>
                <c:pt idx="0">
                  <c:v>26.0°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numCache>
            </c:numRef>
          </c:cat>
          <c:val>
            <c:numRef>
              <c:f>Auswertung_Zeit!$F$30:$F$40</c:f>
              <c:numCache>
                <c:formatCode>0.00%</c:formatCode>
                <c:ptCount val="11"/>
                <c:pt idx="0">
                  <c:v>2.0091324200913242E-2</c:v>
                </c:pt>
                <c:pt idx="1">
                  <c:v>4.8972602739726027E-2</c:v>
                </c:pt>
                <c:pt idx="2">
                  <c:v>2.7777777777777776E-2</c:v>
                </c:pt>
                <c:pt idx="3">
                  <c:v>3.093607305936073E-2</c:v>
                </c:pt>
                <c:pt idx="4">
                  <c:v>5.9589041095890409E-2</c:v>
                </c:pt>
                <c:pt idx="5">
                  <c:v>4.0525114155251139E-2</c:v>
                </c:pt>
                <c:pt idx="6">
                  <c:v>2.99408014571949E-2</c:v>
                </c:pt>
                <c:pt idx="7">
                  <c:v>1.632420091324201E-2</c:v>
                </c:pt>
                <c:pt idx="8">
                  <c:v>5.0570776255707765E-2</c:v>
                </c:pt>
                <c:pt idx="9">
                  <c:v>3.9041095890410958E-2</c:v>
                </c:pt>
                <c:pt idx="10">
                  <c:v>3.9503642987249545E-2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C9-4408-BC0F-EE5404890DDC}"/>
            </c:ext>
          </c:extLst>
        </c:ser>
        <c:ser>
          <c:idx val="5"/>
          <c:order val="5"/>
          <c:tx>
            <c:strRef>
              <c:f>Auswertung_Zeit!$G$29</c:f>
              <c:strCache>
                <c:ptCount val="1"/>
                <c:pt idx="0">
                  <c:v>27.0°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numCache>
            </c:numRef>
          </c:cat>
          <c:val>
            <c:numRef>
              <c:f>Auswertung_Zeit!$G$30:$G$40</c:f>
              <c:numCache>
                <c:formatCode>0.00%</c:formatCode>
                <c:ptCount val="11"/>
                <c:pt idx="0">
                  <c:v>1.449771689497717E-2</c:v>
                </c:pt>
                <c:pt idx="1">
                  <c:v>3.9497716894977171E-2</c:v>
                </c:pt>
                <c:pt idx="2">
                  <c:v>1.9239526411657559E-2</c:v>
                </c:pt>
                <c:pt idx="3">
                  <c:v>2.1689497716894976E-2</c:v>
                </c:pt>
                <c:pt idx="4">
                  <c:v>4.3264840182648402E-2</c:v>
                </c:pt>
                <c:pt idx="5">
                  <c:v>3.1963470319634701E-2</c:v>
                </c:pt>
                <c:pt idx="6">
                  <c:v>2.2199453551912569E-2</c:v>
                </c:pt>
                <c:pt idx="7">
                  <c:v>1.0388127853881279E-2</c:v>
                </c:pt>
                <c:pt idx="8">
                  <c:v>3.6073059360730596E-2</c:v>
                </c:pt>
                <c:pt idx="9">
                  <c:v>2.9109589041095889E-2</c:v>
                </c:pt>
                <c:pt idx="10">
                  <c:v>2.9371584699453553E-2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C9-4408-BC0F-EE5404890DDC}"/>
            </c:ext>
          </c:extLst>
        </c:ser>
        <c:ser>
          <c:idx val="6"/>
          <c:order val="6"/>
          <c:tx>
            <c:strRef>
              <c:f>Auswertung_Zeit!$H$29</c:f>
              <c:strCache>
                <c:ptCount val="1"/>
                <c:pt idx="0">
                  <c:v>28.0°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numCache>
            </c:numRef>
          </c:cat>
          <c:val>
            <c:numRef>
              <c:f>Auswertung_Zeit!$H$30:$H$40</c:f>
              <c:numCache>
                <c:formatCode>0.00%</c:formatCode>
                <c:ptCount val="11"/>
                <c:pt idx="0">
                  <c:v>1.0045662100456621E-2</c:v>
                </c:pt>
                <c:pt idx="1">
                  <c:v>3.287671232876712E-2</c:v>
                </c:pt>
                <c:pt idx="2">
                  <c:v>1.377504553734062E-2</c:v>
                </c:pt>
                <c:pt idx="3">
                  <c:v>1.4611872146118721E-2</c:v>
                </c:pt>
                <c:pt idx="4">
                  <c:v>2.9566210045662102E-2</c:v>
                </c:pt>
                <c:pt idx="5">
                  <c:v>2.5114155251141551E-2</c:v>
                </c:pt>
                <c:pt idx="6">
                  <c:v>1.5368852459016393E-2</c:v>
                </c:pt>
                <c:pt idx="7">
                  <c:v>6.392694063926941E-3</c:v>
                </c:pt>
                <c:pt idx="8">
                  <c:v>2.4885844748858448E-2</c:v>
                </c:pt>
                <c:pt idx="9">
                  <c:v>2.0890410958904111E-2</c:v>
                </c:pt>
                <c:pt idx="10">
                  <c:v>2.0264116575591986E-2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C9-4408-BC0F-EE5404890DDC}"/>
            </c:ext>
          </c:extLst>
        </c:ser>
        <c:ser>
          <c:idx val="7"/>
          <c:order val="7"/>
          <c:tx>
            <c:strRef>
              <c:f>Auswertung_Zeit!$I$29</c:f>
              <c:strCache>
                <c:ptCount val="1"/>
                <c:pt idx="0">
                  <c:v>29.0°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numCache>
            </c:numRef>
          </c:cat>
          <c:val>
            <c:numRef>
              <c:f>Auswertung_Zeit!$I$30:$I$40</c:f>
              <c:numCache>
                <c:formatCode>0.00%</c:formatCode>
                <c:ptCount val="11"/>
                <c:pt idx="0">
                  <c:v>7.3059360730593605E-3</c:v>
                </c:pt>
                <c:pt idx="1">
                  <c:v>2.7283105022831051E-2</c:v>
                </c:pt>
                <c:pt idx="2">
                  <c:v>9.4489981785063747E-3</c:v>
                </c:pt>
                <c:pt idx="3">
                  <c:v>9.4748858447488583E-3</c:v>
                </c:pt>
                <c:pt idx="4">
                  <c:v>2.0547945205479451E-2</c:v>
                </c:pt>
                <c:pt idx="5">
                  <c:v>1.8378995433789954E-2</c:v>
                </c:pt>
                <c:pt idx="6">
                  <c:v>1.0018214936247723E-2</c:v>
                </c:pt>
                <c:pt idx="7">
                  <c:v>4.2237442922374432E-3</c:v>
                </c:pt>
                <c:pt idx="8">
                  <c:v>1.906392694063927E-2</c:v>
                </c:pt>
                <c:pt idx="9">
                  <c:v>1.3698630136986301E-2</c:v>
                </c:pt>
                <c:pt idx="10">
                  <c:v>1.2522768670309653E-2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C9-4408-BC0F-EE5404890DDC}"/>
            </c:ext>
          </c:extLst>
        </c:ser>
        <c:ser>
          <c:idx val="8"/>
          <c:order val="8"/>
          <c:tx>
            <c:strRef>
              <c:f>Auswertung_Zeit!$J$29</c:f>
              <c:strCache>
                <c:ptCount val="1"/>
                <c:pt idx="0">
                  <c:v>30.0°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numCache>
            </c:numRef>
          </c:cat>
          <c:val>
            <c:numRef>
              <c:f>Auswertung_Zeit!$J$30:$J$40</c:f>
              <c:numCache>
                <c:formatCode>0.00%</c:formatCode>
                <c:ptCount val="11"/>
                <c:pt idx="0">
                  <c:v>5.1369863013698627E-3</c:v>
                </c:pt>
                <c:pt idx="1">
                  <c:v>2.2031963470319636E-2</c:v>
                </c:pt>
                <c:pt idx="2">
                  <c:v>6.7167577413479052E-3</c:v>
                </c:pt>
                <c:pt idx="3">
                  <c:v>5.2511415525114159E-3</c:v>
                </c:pt>
                <c:pt idx="4">
                  <c:v>1.1986301369863013E-2</c:v>
                </c:pt>
                <c:pt idx="5">
                  <c:v>1.2328767123287671E-2</c:v>
                </c:pt>
                <c:pt idx="6">
                  <c:v>7.6275045537340623E-3</c:v>
                </c:pt>
                <c:pt idx="7">
                  <c:v>2.2831050228310501E-3</c:v>
                </c:pt>
                <c:pt idx="8">
                  <c:v>1.2671232876712329E-2</c:v>
                </c:pt>
                <c:pt idx="9">
                  <c:v>9.4748858447488583E-3</c:v>
                </c:pt>
                <c:pt idx="10">
                  <c:v>8.6520947176684879E-3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C9-4408-BC0F-EE5404890DDC}"/>
            </c:ext>
          </c:extLst>
        </c:ser>
        <c:ser>
          <c:idx val="9"/>
          <c:order val="9"/>
          <c:tx>
            <c:strRef>
              <c:f>Auswertung_Zeit!$K$29</c:f>
              <c:strCache>
                <c:ptCount val="1"/>
                <c:pt idx="0">
                  <c:v>31.0°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numCache>
            </c:numRef>
          </c:cat>
          <c:val>
            <c:numRef>
              <c:f>Auswertung_Zeit!$K$30:$K$40</c:f>
              <c:numCache>
                <c:formatCode>0.00%</c:formatCode>
                <c:ptCount val="11"/>
                <c:pt idx="0">
                  <c:v>3.0821917808219177E-3</c:v>
                </c:pt>
                <c:pt idx="1">
                  <c:v>1.678082191780822E-2</c:v>
                </c:pt>
                <c:pt idx="2">
                  <c:v>3.4153005464480873E-3</c:v>
                </c:pt>
                <c:pt idx="3">
                  <c:v>2.9680365296803654E-3</c:v>
                </c:pt>
                <c:pt idx="4">
                  <c:v>7.534246575342466E-3</c:v>
                </c:pt>
                <c:pt idx="5">
                  <c:v>8.1050228310502286E-3</c:v>
                </c:pt>
                <c:pt idx="6">
                  <c:v>6.1475409836065573E-3</c:v>
                </c:pt>
                <c:pt idx="7">
                  <c:v>1.5981735159817352E-3</c:v>
                </c:pt>
                <c:pt idx="8">
                  <c:v>8.7899543378995425E-3</c:v>
                </c:pt>
                <c:pt idx="9">
                  <c:v>5.4794520547945206E-3</c:v>
                </c:pt>
                <c:pt idx="10">
                  <c:v>5.1229508196721308E-3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C9-4408-BC0F-EE5404890DDC}"/>
            </c:ext>
          </c:extLst>
        </c:ser>
        <c:ser>
          <c:idx val="10"/>
          <c:order val="10"/>
          <c:tx>
            <c:strRef>
              <c:f>Auswertung_Zeit!$L$29</c:f>
              <c:strCache>
                <c:ptCount val="1"/>
                <c:pt idx="0">
                  <c:v>32.0°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numCache>
            </c:numRef>
          </c:cat>
          <c:val>
            <c:numRef>
              <c:f>Auswertung_Zeit!$L$30:$L$40</c:f>
              <c:numCache>
                <c:formatCode>0.00%</c:formatCode>
                <c:ptCount val="11"/>
                <c:pt idx="0">
                  <c:v>1.5981735159817352E-3</c:v>
                </c:pt>
                <c:pt idx="1">
                  <c:v>1.2214611872146119E-2</c:v>
                </c:pt>
                <c:pt idx="2">
                  <c:v>1.2522768670309653E-3</c:v>
                </c:pt>
                <c:pt idx="3">
                  <c:v>1.0273972602739725E-3</c:v>
                </c:pt>
                <c:pt idx="4">
                  <c:v>4.2237442922374432E-3</c:v>
                </c:pt>
                <c:pt idx="5">
                  <c:v>6.5068493150684933E-3</c:v>
                </c:pt>
                <c:pt idx="6">
                  <c:v>4.2122040072859745E-3</c:v>
                </c:pt>
                <c:pt idx="7">
                  <c:v>5.7077625570776253E-4</c:v>
                </c:pt>
                <c:pt idx="8">
                  <c:v>6.5068493150684933E-3</c:v>
                </c:pt>
                <c:pt idx="9">
                  <c:v>3.3105022831050228E-3</c:v>
                </c:pt>
                <c:pt idx="10">
                  <c:v>2.3907103825136613E-3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CC9-4408-BC0F-EE5404890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567920"/>
        <c:axId val="364566960"/>
      </c:lineChart>
      <c:catAx>
        <c:axId val="36456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Jahre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4566960"/>
        <c:crosses val="autoZero"/>
        <c:auto val="1"/>
        <c:lblAlgn val="ctr"/>
        <c:lblOffset val="100"/>
        <c:noMultiLvlLbl val="0"/>
      </c:catAx>
      <c:valAx>
        <c:axId val="36456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Prozent der Stunden im Jahr über der Zieltmeperatur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456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PUE </a:t>
            </a:r>
            <a:r>
              <a:rPr lang="en-US" baseline="0"/>
              <a:t> bei direkter freier Kühlung vs. mit Kältemaschinen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direkte freie Kühlung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Auswertung_PUE!$A$42:$A$52</c:f>
              <c:numCache>
                <c:formatCode>#.#0\°</c:formatCode>
                <c:ptCount val="1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cat>
          <c:val>
            <c:numRef>
              <c:f>Auswertung_PUE!$E$42:$E$52</c:f>
              <c:numCache>
                <c:formatCode>0.0000</c:formatCode>
                <c:ptCount val="11"/>
                <c:pt idx="0">
                  <c:v>1.2020799418604651</c:v>
                </c:pt>
                <c:pt idx="1">
                  <c:v>1.1963350290697674</c:v>
                </c:pt>
                <c:pt idx="2">
                  <c:v>1.1911460755813954</c:v>
                </c:pt>
                <c:pt idx="3">
                  <c:v>1.1872172965116279</c:v>
                </c:pt>
                <c:pt idx="4">
                  <c:v>1.1845672238372094</c:v>
                </c:pt>
                <c:pt idx="5">
                  <c:v>1.1820098110465116</c:v>
                </c:pt>
                <c:pt idx="6">
                  <c:v>1.1798045058139535</c:v>
                </c:pt>
                <c:pt idx="7">
                  <c:v>1.1780995639534884</c:v>
                </c:pt>
                <c:pt idx="8">
                  <c:v>1.1771173691860466</c:v>
                </c:pt>
                <c:pt idx="9">
                  <c:v>1.1762093023255815</c:v>
                </c:pt>
                <c:pt idx="10">
                  <c:v>1.1755236191860465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7-404E-938B-6389AD3013CE}"/>
            </c:ext>
          </c:extLst>
        </c:ser>
        <c:ser>
          <c:idx val="1"/>
          <c:order val="1"/>
          <c:tx>
            <c:v>Kältmaschinen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Auswertung_PUE!$A$42:$A$52</c:f>
              <c:numCache>
                <c:formatCode>#.#0\°</c:formatCode>
                <c:ptCount val="1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cat>
          <c:val>
            <c:numRef>
              <c:f>Auswertung_PUE!$H$42:$H$52</c:f>
              <c:numCache>
                <c:formatCode>General</c:formatCode>
                <c:ptCount val="11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97-404E-938B-6389AD3013CE}"/>
            </c:ext>
          </c:extLst>
        </c:ser>
        <c:ser>
          <c:idx val="2"/>
          <c:order val="2"/>
          <c:tx>
            <c:strRef>
              <c:f>Auswertung_PUE!$F$41</c:f>
              <c:strCache>
                <c:ptCount val="1"/>
                <c:pt idx="0">
                  <c:v>+ ∆𝜀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Auswertung_PUE!$A$42:$A$52</c:f>
              <c:numCache>
                <c:formatCode>#.#0\°</c:formatCode>
                <c:ptCount val="1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cat>
          <c:val>
            <c:numRef>
              <c:f>Auswertung_PUE!$F$42:$F$52</c:f>
              <c:numCache>
                <c:formatCode>0.0000</c:formatCode>
                <c:ptCount val="11"/>
                <c:pt idx="0">
                  <c:v>1.2196046511627907</c:v>
                </c:pt>
                <c:pt idx="1">
                  <c:v>1.2141976744186047</c:v>
                </c:pt>
                <c:pt idx="2">
                  <c:v>1.2093139534883721</c:v>
                </c:pt>
                <c:pt idx="3">
                  <c:v>1.2056162790697675</c:v>
                </c:pt>
                <c:pt idx="4">
                  <c:v>1.2031220930232558</c:v>
                </c:pt>
                <c:pt idx="5">
                  <c:v>1.2007151162790697</c:v>
                </c:pt>
                <c:pt idx="6">
                  <c:v>1.1986395348837209</c:v>
                </c:pt>
                <c:pt idx="7">
                  <c:v>1.1970348837209301</c:v>
                </c:pt>
                <c:pt idx="8">
                  <c:v>1.1961104651162791</c:v>
                </c:pt>
                <c:pt idx="9">
                  <c:v>1.1952558139534883</c:v>
                </c:pt>
                <c:pt idx="10">
                  <c:v>1.194610465116279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97-404E-938B-6389AD3013CE}"/>
            </c:ext>
          </c:extLst>
        </c:ser>
        <c:ser>
          <c:idx val="3"/>
          <c:order val="3"/>
          <c:tx>
            <c:strRef>
              <c:f>Auswertung_PUE!$G$41</c:f>
              <c:strCache>
                <c:ptCount val="1"/>
                <c:pt idx="0">
                  <c:v> - ∆𝜀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Auswertung_PUE!$A$42:$A$52</c:f>
              <c:numCache>
                <c:formatCode>#.#0\°</c:formatCode>
                <c:ptCount val="1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cat>
          <c:val>
            <c:numRef>
              <c:f>Auswertung_PUE!$G$42:$G$52</c:f>
              <c:numCache>
                <c:formatCode>0.0000</c:formatCode>
                <c:ptCount val="11"/>
                <c:pt idx="0">
                  <c:v>1.1845552325581394</c:v>
                </c:pt>
                <c:pt idx="1">
                  <c:v>1.1784723837209303</c:v>
                </c:pt>
                <c:pt idx="2">
                  <c:v>1.1729781976744187</c:v>
                </c:pt>
                <c:pt idx="3">
                  <c:v>1.1688183139534885</c:v>
                </c:pt>
                <c:pt idx="4">
                  <c:v>1.1660123546511627</c:v>
                </c:pt>
                <c:pt idx="5">
                  <c:v>1.1633045058139535</c:v>
                </c:pt>
                <c:pt idx="6">
                  <c:v>1.160969476744186</c:v>
                </c:pt>
                <c:pt idx="7">
                  <c:v>1.1591642441860466</c:v>
                </c:pt>
                <c:pt idx="8">
                  <c:v>1.1581242732558139</c:v>
                </c:pt>
                <c:pt idx="9">
                  <c:v>1.1571627906976745</c:v>
                </c:pt>
                <c:pt idx="10">
                  <c:v>1.1564367732558138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97-404E-938B-6389AD301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5319983"/>
        <c:axId val="1295323343"/>
      </c:lineChart>
      <c:catAx>
        <c:axId val="1295319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Serverraumtemperatur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.#0\°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95323343"/>
        <c:crosses val="autoZero"/>
        <c:auto val="1"/>
        <c:lblAlgn val="ctr"/>
        <c:lblOffset val="100"/>
        <c:noMultiLvlLbl val="0"/>
      </c:catAx>
      <c:valAx>
        <c:axId val="1295323343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95319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289560</xdr:colOff>
          <xdr:row>7</xdr:row>
          <xdr:rowOff>7620</xdr:rowOff>
        </xdr:from>
        <xdr:to>
          <xdr:col>5</xdr:col>
          <xdr:colOff>60960</xdr:colOff>
          <xdr:row>8</xdr:row>
          <xdr:rowOff>144780</xdr:rowOff>
        </xdr:to>
        <xdr:sp macro="" textlink="">
          <xdr:nvSpPr>
            <xdr:cNvPr id="1025" name="CBox_Date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449580</xdr:colOff>
          <xdr:row>16</xdr:row>
          <xdr:rowOff>121920</xdr:rowOff>
        </xdr:from>
        <xdr:to>
          <xdr:col>3</xdr:col>
          <xdr:colOff>365760</xdr:colOff>
          <xdr:row>18</xdr:row>
          <xdr:rowOff>144780</xdr:rowOff>
        </xdr:to>
        <xdr:sp macro="" textlink="">
          <xdr:nvSpPr>
            <xdr:cNvPr id="1026" name="CButton_Auswerte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525780</xdr:colOff>
          <xdr:row>11</xdr:row>
          <xdr:rowOff>137160</xdr:rowOff>
        </xdr:from>
        <xdr:to>
          <xdr:col>1</xdr:col>
          <xdr:colOff>739140</xdr:colOff>
          <xdr:row>13</xdr:row>
          <xdr:rowOff>53340</xdr:rowOff>
        </xdr:to>
        <xdr:sp macro="" textlink="">
          <xdr:nvSpPr>
            <xdr:cNvPr id="1035" name="TBox_V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11</xdr:row>
          <xdr:rowOff>129540</xdr:rowOff>
        </xdr:from>
        <xdr:to>
          <xdr:col>2</xdr:col>
          <xdr:colOff>22860</xdr:colOff>
          <xdr:row>13</xdr:row>
          <xdr:rowOff>76200</xdr:rowOff>
        </xdr:to>
        <xdr:sp macro="" textlink="">
          <xdr:nvSpPr>
            <xdr:cNvPr id="1036" name="SpinB_V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708660</xdr:colOff>
          <xdr:row>11</xdr:row>
          <xdr:rowOff>121920</xdr:rowOff>
        </xdr:from>
        <xdr:to>
          <xdr:col>5</xdr:col>
          <xdr:colOff>0</xdr:colOff>
          <xdr:row>13</xdr:row>
          <xdr:rowOff>68580</xdr:rowOff>
        </xdr:to>
        <xdr:sp macro="" textlink="">
          <xdr:nvSpPr>
            <xdr:cNvPr id="1037" name="SpinB_Bi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510540</xdr:colOff>
          <xdr:row>11</xdr:row>
          <xdr:rowOff>129540</xdr:rowOff>
        </xdr:from>
        <xdr:to>
          <xdr:col>4</xdr:col>
          <xdr:colOff>723900</xdr:colOff>
          <xdr:row>13</xdr:row>
          <xdr:rowOff>60960</xdr:rowOff>
        </xdr:to>
        <xdr:sp macro="" textlink="">
          <xdr:nvSpPr>
            <xdr:cNvPr id="1038" name="TBox_Bi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353377</xdr:colOff>
      <xdr:row>4</xdr:row>
      <xdr:rowOff>108238</xdr:rowOff>
    </xdr:from>
    <xdr:to>
      <xdr:col>13</xdr:col>
      <xdr:colOff>106334</xdr:colOff>
      <xdr:row>23</xdr:row>
      <xdr:rowOff>129886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F7E30076-73D4-4710-9F81-17BD631CE5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106333</xdr:colOff>
      <xdr:row>4</xdr:row>
      <xdr:rowOff>106333</xdr:rowOff>
    </xdr:from>
    <xdr:to>
      <xdr:col>7</xdr:col>
      <xdr:colOff>129886</xdr:colOff>
      <xdr:row>23</xdr:row>
      <xdr:rowOff>119063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2A9E3BE7-2E07-4ACB-BD49-E2437C8CB9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6</xdr:col>
      <xdr:colOff>834753</xdr:colOff>
      <xdr:row>8</xdr:row>
      <xdr:rowOff>14053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3">
              <a:extLst>
                <a:ext uri="{FF2B5EF4-FFF2-40B4-BE49-F238E27FC236}">
                  <a16:creationId xmlns:a16="http://schemas.microsoft.com/office/drawing/2014/main" id="{B5ADAA24-085D-4380-9CB2-F67694199D55}"/>
                </a:ext>
              </a:extLst>
            </xdr:cNvPr>
            <xdr:cNvSpPr txBox="1"/>
          </xdr:nvSpPr>
          <xdr:spPr>
            <a:xfrm>
              <a:off x="0" y="922020"/>
              <a:ext cx="5955393" cy="53983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de-DE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1pPr>
              <a:lvl2pPr marL="60963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2pPr>
              <a:lvl3pPr marL="1219261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3pPr>
              <a:lvl4pPr marL="1828891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4pPr>
              <a:lvl5pPr marL="2438522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5pPr>
              <a:lvl6pPr marL="3048152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6pPr>
              <a:lvl7pPr marL="3657783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7pPr>
              <a:lvl8pPr marL="4267413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8pPr>
              <a:lvl9pPr marL="4877044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̃"/>
                        <m:ctrlPr>
                          <a:rPr lang="de-DE" sz="1400" b="1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de-DE" sz="1400" b="1" i="1">
                            <a:latin typeface="Cambria Math" panose="02040503050406030204" pitchFamily="18" charset="0"/>
                          </a:rPr>
                          <m:t>𝑷𝑼𝑬</m:t>
                        </m:r>
                      </m:e>
                    </m:acc>
                    <m:r>
                      <a:rPr lang="de-DE" sz="14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400" b="1" i="1">
                        <a:latin typeface="Cambria Math" panose="02040503050406030204" pitchFamily="18" charset="0"/>
                      </a:rPr>
                      <m:t>𝑷𝑼𝑬</m:t>
                    </m:r>
                    <m:r>
                      <a:rPr lang="de-DE" sz="1400" b="1" i="1">
                        <a:latin typeface="Cambria Math" panose="02040503050406030204" pitchFamily="18" charset="0"/>
                      </a:rPr>
                      <m:t>+ </m:t>
                    </m:r>
                    <m:f>
                      <m:fPr>
                        <m:ctrlPr>
                          <a:rPr lang="de-DE" sz="14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de-DE" sz="1200" b="1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200" b="1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𝝌</m:t>
                            </m:r>
                          </m:e>
                          <m:sub>
                            <m:r>
                              <a:rPr lang="de-DE" sz="1200" b="1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𝑲</m:t>
                            </m:r>
                            <m:r>
                              <a:rPr lang="de-DE" sz="1200" b="1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ü</m:t>
                            </m:r>
                            <m:r>
                              <a:rPr lang="de-DE" sz="1200" b="1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𝒉𝒍𝒖𝒏𝒈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de-DE" sz="14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4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𝝌</m:t>
                            </m:r>
                          </m:e>
                          <m:sub>
                            <m:r>
                              <a:rPr lang="de-DE" sz="1400" b="1" i="1">
                                <a:latin typeface="Cambria Math" panose="02040503050406030204" pitchFamily="18" charset="0"/>
                              </a:rPr>
                              <m:t>𝑰𝑻</m:t>
                            </m:r>
                            <m:r>
                              <a:rPr lang="de-DE" sz="1400" b="1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de-DE" sz="1400" b="1" i="1">
                                <a:latin typeface="Cambria Math" panose="02040503050406030204" pitchFamily="18" charset="0"/>
                              </a:rPr>
                              <m:t>𝑮𝒆𝒓</m:t>
                            </m:r>
                            <m:r>
                              <a:rPr lang="de-DE" sz="1400" b="1" i="1">
                                <a:latin typeface="Cambria Math" panose="02040503050406030204" pitchFamily="18" charset="0"/>
                              </a:rPr>
                              <m:t>ä</m:t>
                            </m:r>
                            <m:r>
                              <a:rPr lang="de-DE" sz="1400" b="1" i="1">
                                <a:latin typeface="Cambria Math" panose="02040503050406030204" pitchFamily="18" charset="0"/>
                              </a:rPr>
                              <m:t>𝒕𝒆</m:t>
                            </m:r>
                          </m:sub>
                        </m:sSub>
                      </m:den>
                    </m:f>
                    <m:r>
                      <a:rPr lang="de-DE" sz="14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de-DE" sz="14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 </m:t>
                    </m:r>
                    <m:d>
                      <m:dPr>
                        <m:ctrlPr>
                          <a:rPr lang="de-DE" sz="14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de-DE" sz="14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de-DE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𝒉</m:t>
                                </m:r>
                              </m:e>
                              <m:sub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𝒇𝒓𝒆𝒊𝒆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𝑲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ü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𝒉𝒍𝒖𝒏𝒈</m:t>
                                </m:r>
                              </m:sub>
                            </m:sSub>
                            <m:r>
                              <a:rPr lang="de-DE" sz="14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 </m:t>
                            </m:r>
                            <m:r>
                              <a:rPr lang="de-DE" sz="14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𝜺</m:t>
                            </m:r>
                            <m:sSub>
                              <m:sSubPr>
                                <m:ctrlPr>
                                  <a:rPr lang="de-DE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</a:rPr>
                                  <m:t>+ 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</a:rPr>
                                  <m:t>𝒉</m:t>
                                </m:r>
                              </m:e>
                              <m:sub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𝒓𝒆𝒈𝒍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. 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𝑲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ü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𝒉𝒍𝒖𝒏𝒈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de-DE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</a:rPr>
                                  <m:t>𝒉</m:t>
                                </m:r>
                              </m:e>
                              <m:sub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𝒈𝒂𝒏𝒛𝒆𝒔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𝑱𝒂𝒉𝒓</m:t>
                                </m:r>
                              </m:sub>
                            </m:sSub>
                          </m:den>
                        </m:f>
                        <m:r>
                          <a:rPr lang="de-DE" sz="14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−</m:t>
                        </m:r>
                        <m:r>
                          <a:rPr lang="de-DE" sz="14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e>
                    </m:d>
                  </m:oMath>
                </m:oMathPara>
              </a14:m>
              <a:endParaRPr lang="de-DE" sz="2400" b="1"/>
            </a:p>
          </xdr:txBody>
        </xdr:sp>
      </mc:Choice>
      <mc:Fallback xmlns="">
        <xdr:sp macro="" textlink="">
          <xdr:nvSpPr>
            <xdr:cNvPr id="2" name="Textfeld 13">
              <a:extLst>
                <a:ext uri="{FF2B5EF4-FFF2-40B4-BE49-F238E27FC236}">
                  <a16:creationId xmlns:a16="http://schemas.microsoft.com/office/drawing/2014/main" id="{B5ADAA24-085D-4380-9CB2-F67694199D55}"/>
                </a:ext>
              </a:extLst>
            </xdr:cNvPr>
            <xdr:cNvSpPr txBox="1"/>
          </xdr:nvSpPr>
          <xdr:spPr>
            <a:xfrm>
              <a:off x="0" y="922020"/>
              <a:ext cx="5955393" cy="53983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de-DE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1pPr>
              <a:lvl2pPr marL="60963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2pPr>
              <a:lvl3pPr marL="1219261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3pPr>
              <a:lvl4pPr marL="1828891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4pPr>
              <a:lvl5pPr marL="2438522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5pPr>
              <a:lvl6pPr marL="3048152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6pPr>
              <a:lvl7pPr marL="3657783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7pPr>
              <a:lvl8pPr marL="4267413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8pPr>
              <a:lvl9pPr marL="4877044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9pPr>
            </a:lstStyle>
            <a:p>
              <a:pPr/>
              <a:r>
                <a:rPr lang="de-DE" sz="1400" b="1" i="0">
                  <a:latin typeface="Cambria Math" panose="02040503050406030204" pitchFamily="18" charset="0"/>
                </a:rPr>
                <a:t>(𝑷𝑼𝑬) ̃=𝑷𝑼𝑬+ </a:t>
              </a:r>
              <a:r>
                <a:rPr lang="de-DE" sz="1200" b="1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𝝌_𝑲ü𝒉𝒍𝒖𝒏𝒈</a:t>
              </a:r>
              <a:r>
                <a:rPr lang="de-DE" sz="1400" b="1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de-DE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𝝌_(</a:t>
              </a:r>
              <a:r>
                <a:rPr lang="de-DE" sz="1400" b="1" i="0">
                  <a:latin typeface="Cambria Math" panose="02040503050406030204" pitchFamily="18" charset="0"/>
                </a:rPr>
                <a:t>𝑰𝑻−𝑮𝒆𝒓ä𝒕𝒆)   </a:t>
              </a:r>
              <a:r>
                <a:rPr lang="de-DE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∙ ((𝒉_(𝒇𝒓𝒆𝒊𝒆 𝑲ü𝒉𝒍𝒖𝒏𝒈)∙ 𝜺〖</a:t>
              </a:r>
              <a:r>
                <a:rPr lang="de-DE" sz="1400" b="1" i="0">
                  <a:latin typeface="Cambria Math" panose="02040503050406030204" pitchFamily="18" charset="0"/>
                </a:rPr>
                <a:t>+ 𝒉〗_(</a:t>
              </a:r>
              <a:r>
                <a:rPr lang="de-DE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𝒓𝒆𝒈𝒍. 𝑲ü𝒉𝒍𝒖𝒏𝒈))/</a:t>
              </a:r>
              <a:r>
                <a:rPr lang="de-DE" sz="1400" b="1" i="0">
                  <a:latin typeface="Cambria Math" panose="02040503050406030204" pitchFamily="18" charset="0"/>
                </a:rPr>
                <a:t>𝒉_(</a:t>
              </a:r>
              <a:r>
                <a:rPr lang="de-DE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𝒈𝒂𝒏𝒛𝒆𝒔 𝑱𝒂𝒉𝒓)   −𝟏)</a:t>
              </a:r>
              <a:endParaRPr lang="de-DE" sz="2400" b="1"/>
            </a:p>
          </xdr:txBody>
        </xdr:sp>
      </mc:Fallback>
    </mc:AlternateContent>
    <xdr:clientData/>
  </xdr:twoCellAnchor>
  <xdr:oneCellAnchor>
    <xdr:from>
      <xdr:col>4</xdr:col>
      <xdr:colOff>121920</xdr:colOff>
      <xdr:row>11</xdr:row>
      <xdr:rowOff>157267</xdr:rowOff>
    </xdr:from>
    <xdr:ext cx="624979" cy="173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F9C00265-CA1D-4CDC-91A3-5FF6A33A14DE}"/>
                </a:ext>
              </a:extLst>
            </xdr:cNvPr>
            <xdr:cNvSpPr txBox="1"/>
          </xdr:nvSpPr>
          <xdr:spPr>
            <a:xfrm>
              <a:off x="3535680" y="2130847"/>
              <a:ext cx="624979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𝐼𝑇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𝐺𝑒𝑟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ä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𝑡𝑒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F9C00265-CA1D-4CDC-91A3-5FF6A33A14DE}"/>
                </a:ext>
              </a:extLst>
            </xdr:cNvPr>
            <xdr:cNvSpPr txBox="1"/>
          </xdr:nvSpPr>
          <xdr:spPr>
            <a:xfrm>
              <a:off x="3535680" y="2130847"/>
              <a:ext cx="624979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𝜒_(</a:t>
              </a:r>
              <a:r>
                <a:rPr lang="de-DE" sz="1100" b="0" i="0">
                  <a:latin typeface="Cambria Math" panose="02040503050406030204" pitchFamily="18" charset="0"/>
                </a:rPr>
                <a:t>𝐼𝑇−𝐺𝑒𝑟ä𝑡𝑒)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115571</xdr:colOff>
      <xdr:row>12</xdr:row>
      <xdr:rowOff>170815</xdr:rowOff>
    </xdr:from>
    <xdr:ext cx="546175" cy="182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94D7343A-01D7-4B7B-B04F-28674C1171B8}"/>
                </a:ext>
              </a:extLst>
            </xdr:cNvPr>
            <xdr:cNvSpPr txBox="1"/>
          </xdr:nvSpPr>
          <xdr:spPr>
            <a:xfrm>
              <a:off x="3529331" y="2319655"/>
              <a:ext cx="546175" cy="182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𝐾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ü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h𝑙𝑢𝑛𝑔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94D7343A-01D7-4B7B-B04F-28674C1171B8}"/>
                </a:ext>
              </a:extLst>
            </xdr:cNvPr>
            <xdr:cNvSpPr txBox="1"/>
          </xdr:nvSpPr>
          <xdr:spPr>
            <a:xfrm>
              <a:off x="3529331" y="2319655"/>
              <a:ext cx="546175" cy="182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de-DE" sz="1100" b="0" i="0">
                  <a:latin typeface="Cambria Math" panose="02040503050406030204" pitchFamily="18" charset="0"/>
                </a:rPr>
                <a:t>𝐾üℎ𝑙𝑢𝑛𝑔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121920</xdr:colOff>
      <xdr:row>11</xdr:row>
      <xdr:rowOff>157267</xdr:rowOff>
    </xdr:from>
    <xdr:ext cx="624979" cy="173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FE648B4B-0FDF-4330-9AE8-8ECEAF54163F}"/>
                </a:ext>
              </a:extLst>
            </xdr:cNvPr>
            <xdr:cNvSpPr txBox="1"/>
          </xdr:nvSpPr>
          <xdr:spPr>
            <a:xfrm>
              <a:off x="3552825" y="2092747"/>
              <a:ext cx="624979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𝐼𝑇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𝐺𝑒𝑟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ä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𝑡𝑒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FE648B4B-0FDF-4330-9AE8-8ECEAF54163F}"/>
                </a:ext>
              </a:extLst>
            </xdr:cNvPr>
            <xdr:cNvSpPr txBox="1"/>
          </xdr:nvSpPr>
          <xdr:spPr>
            <a:xfrm>
              <a:off x="3552825" y="2092747"/>
              <a:ext cx="624979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𝜒_(</a:t>
              </a:r>
              <a:r>
                <a:rPr lang="de-DE" sz="1100" b="0" i="0">
                  <a:latin typeface="Cambria Math" panose="02040503050406030204" pitchFamily="18" charset="0"/>
                </a:rPr>
                <a:t>𝐼𝑇−𝐺𝑒𝑟ä𝑡𝑒)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115571</xdr:colOff>
      <xdr:row>12</xdr:row>
      <xdr:rowOff>170815</xdr:rowOff>
    </xdr:from>
    <xdr:ext cx="546175" cy="182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6179E797-6E36-46F3-98E9-988BE4812594}"/>
                </a:ext>
              </a:extLst>
            </xdr:cNvPr>
            <xdr:cNvSpPr txBox="1"/>
          </xdr:nvSpPr>
          <xdr:spPr>
            <a:xfrm>
              <a:off x="3544571" y="2279650"/>
              <a:ext cx="546175" cy="182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𝐾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ü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h𝑙𝑢𝑛𝑔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6179E797-6E36-46F3-98E9-988BE4812594}"/>
                </a:ext>
              </a:extLst>
            </xdr:cNvPr>
            <xdr:cNvSpPr txBox="1"/>
          </xdr:nvSpPr>
          <xdr:spPr>
            <a:xfrm>
              <a:off x="3544571" y="2279650"/>
              <a:ext cx="546175" cy="182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de-DE" sz="1100" b="0" i="0">
                  <a:latin typeface="Cambria Math" panose="02040503050406030204" pitchFamily="18" charset="0"/>
                </a:rPr>
                <a:t>𝐾üℎ𝑙𝑢𝑛𝑔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121920</xdr:colOff>
      <xdr:row>11</xdr:row>
      <xdr:rowOff>157267</xdr:rowOff>
    </xdr:from>
    <xdr:ext cx="624979" cy="173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7A053FB8-650E-431F-90EB-8918CE4E0CA6}"/>
                </a:ext>
              </a:extLst>
            </xdr:cNvPr>
            <xdr:cNvSpPr txBox="1"/>
          </xdr:nvSpPr>
          <xdr:spPr>
            <a:xfrm>
              <a:off x="3552825" y="2092747"/>
              <a:ext cx="624979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𝐼𝑇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𝐺𝑒𝑟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ä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𝑡𝑒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7A053FB8-650E-431F-90EB-8918CE4E0CA6}"/>
                </a:ext>
              </a:extLst>
            </xdr:cNvPr>
            <xdr:cNvSpPr txBox="1"/>
          </xdr:nvSpPr>
          <xdr:spPr>
            <a:xfrm>
              <a:off x="3552825" y="2092747"/>
              <a:ext cx="624979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𝜒_(</a:t>
              </a:r>
              <a:r>
                <a:rPr lang="de-DE" sz="1100" b="0" i="0">
                  <a:latin typeface="Cambria Math" panose="02040503050406030204" pitchFamily="18" charset="0"/>
                </a:rPr>
                <a:t>𝐼𝑇−𝐺𝑒𝑟ä𝑡𝑒)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115571</xdr:colOff>
      <xdr:row>12</xdr:row>
      <xdr:rowOff>170815</xdr:rowOff>
    </xdr:from>
    <xdr:ext cx="546175" cy="182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63A96C89-0F25-4E63-827C-0512818701D5}"/>
                </a:ext>
              </a:extLst>
            </xdr:cNvPr>
            <xdr:cNvSpPr txBox="1"/>
          </xdr:nvSpPr>
          <xdr:spPr>
            <a:xfrm>
              <a:off x="3544571" y="2279650"/>
              <a:ext cx="546175" cy="182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𝐾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ü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h𝑙𝑢𝑛𝑔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63A96C89-0F25-4E63-827C-0512818701D5}"/>
                </a:ext>
              </a:extLst>
            </xdr:cNvPr>
            <xdr:cNvSpPr txBox="1"/>
          </xdr:nvSpPr>
          <xdr:spPr>
            <a:xfrm>
              <a:off x="3544571" y="2279650"/>
              <a:ext cx="546175" cy="182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de-DE" sz="1100" b="0" i="0">
                  <a:latin typeface="Cambria Math" panose="02040503050406030204" pitchFamily="18" charset="0"/>
                </a:rPr>
                <a:t>𝐾üℎ𝑙𝑢𝑛𝑔</a:t>
              </a:r>
              <a:endParaRPr lang="de-DE" sz="1100"/>
            </a:p>
          </xdr:txBody>
        </xdr:sp>
      </mc:Fallback>
    </mc:AlternateContent>
    <xdr:clientData/>
  </xdr:oneCellAnchor>
  <xdr:twoCellAnchor>
    <xdr:from>
      <xdr:col>0</xdr:col>
      <xdr:colOff>121596</xdr:colOff>
      <xdr:row>18</xdr:row>
      <xdr:rowOff>68418</xdr:rowOff>
    </xdr:from>
    <xdr:to>
      <xdr:col>5</xdr:col>
      <xdr:colOff>750921</xdr:colOff>
      <xdr:row>37</xdr:row>
      <xdr:rowOff>32223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B7544316-8090-4718-AD32-CB6C5847A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lfst-nfi0001\homes$\Katharina.Eisenhut\Desktop\Audit\Programm%20Temperatur-Auswertung.xlsm" TargetMode="External"/><Relationship Id="rId1" Type="http://schemas.openxmlformats.org/officeDocument/2006/relationships/externalLinkPath" Target="Audit/Programm%20Temperatur-Auswer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abelle1"/>
      <sheetName val="Tabelle2"/>
      <sheetName val="Tabelle3"/>
    </sheetNames>
    <sheetDataSet>
      <sheetData sheetId="0">
        <row r="16">
          <cell r="B16">
            <v>22</v>
          </cell>
          <cell r="C16">
            <v>23</v>
          </cell>
          <cell r="D16">
            <v>24</v>
          </cell>
          <cell r="E16">
            <v>25</v>
          </cell>
          <cell r="F16">
            <v>26</v>
          </cell>
          <cell r="G16">
            <v>27</v>
          </cell>
          <cell r="H16">
            <v>28</v>
          </cell>
          <cell r="I16">
            <v>29</v>
          </cell>
          <cell r="J16">
            <v>30</v>
          </cell>
          <cell r="K16">
            <v>31</v>
          </cell>
          <cell r="L16">
            <v>32</v>
          </cell>
        </row>
        <row r="17">
          <cell r="A17">
            <v>2004</v>
          </cell>
          <cell r="B17">
            <v>6.2044626593806919E-2</v>
          </cell>
          <cell r="C17">
            <v>4.8041894353369766E-2</v>
          </cell>
          <cell r="D17">
            <v>3.8592896174863389E-2</v>
          </cell>
          <cell r="E17">
            <v>2.8460837887067394E-2</v>
          </cell>
          <cell r="F17">
            <v>2.185792349726776E-2</v>
          </cell>
          <cell r="G17">
            <v>1.5255009107468125E-2</v>
          </cell>
          <cell r="H17">
            <v>1.0473588342440802E-2</v>
          </cell>
          <cell r="I17">
            <v>5.1229508196721308E-3</v>
          </cell>
          <cell r="J17">
            <v>1.8214936247723133E-3</v>
          </cell>
          <cell r="K17">
            <v>1.1384335154826958E-4</v>
          </cell>
          <cell r="L17">
            <v>0</v>
          </cell>
        </row>
        <row r="18">
          <cell r="A18">
            <v>2005</v>
          </cell>
          <cell r="B18">
            <v>6.7922374429223747E-2</v>
          </cell>
          <cell r="C18">
            <v>5.4794520547945202E-2</v>
          </cell>
          <cell r="D18">
            <v>4.4634703196347034E-2</v>
          </cell>
          <cell r="E18">
            <v>3.515981735159817E-2</v>
          </cell>
          <cell r="F18">
            <v>2.7625570776255708E-2</v>
          </cell>
          <cell r="G18">
            <v>1.9406392694063926E-2</v>
          </cell>
          <cell r="H18">
            <v>1.4155251141552512E-2</v>
          </cell>
          <cell r="I18">
            <v>9.2465753424657536E-3</v>
          </cell>
          <cell r="J18">
            <v>5.4794520547945206E-3</v>
          </cell>
          <cell r="K18">
            <v>3.1963470319634705E-3</v>
          </cell>
          <cell r="L18">
            <v>1.5981735159817352E-3</v>
          </cell>
        </row>
        <row r="19">
          <cell r="A19">
            <v>2006</v>
          </cell>
          <cell r="B19">
            <v>8.3333333333333329E-2</v>
          </cell>
          <cell r="C19">
            <v>6.7808219178082191E-2</v>
          </cell>
          <cell r="D19">
            <v>5.410958904109589E-2</v>
          </cell>
          <cell r="E19">
            <v>4.4406392694063927E-2</v>
          </cell>
          <cell r="F19">
            <v>3.4817351598173514E-2</v>
          </cell>
          <cell r="G19">
            <v>2.5114155251141551E-2</v>
          </cell>
          <cell r="H19">
            <v>1.7579908675799085E-2</v>
          </cell>
          <cell r="I19">
            <v>1.2100456621004566E-2</v>
          </cell>
          <cell r="J19">
            <v>8.5616438356164379E-3</v>
          </cell>
          <cell r="K19">
            <v>5.2511415525114159E-3</v>
          </cell>
          <cell r="L19">
            <v>3.5388127853881279E-3</v>
          </cell>
        </row>
        <row r="20">
          <cell r="A20">
            <v>2007</v>
          </cell>
          <cell r="B20">
            <v>6.6780821917808222E-2</v>
          </cell>
          <cell r="C20">
            <v>5.0570776255707765E-2</v>
          </cell>
          <cell r="D20">
            <v>3.5730593607305933E-2</v>
          </cell>
          <cell r="E20">
            <v>2.6598173515981736E-2</v>
          </cell>
          <cell r="F20">
            <v>1.7579908675799085E-2</v>
          </cell>
          <cell r="G20">
            <v>1.0958904109589041E-2</v>
          </cell>
          <cell r="H20">
            <v>6.6210045662100456E-3</v>
          </cell>
          <cell r="I20">
            <v>3.5388127853881279E-3</v>
          </cell>
          <cell r="J20">
            <v>2.2831050228310501E-3</v>
          </cell>
          <cell r="K20">
            <v>1.7123287671232876E-3</v>
          </cell>
          <cell r="L20">
            <v>1.3698630136986301E-3</v>
          </cell>
        </row>
        <row r="21">
          <cell r="A21">
            <v>2008</v>
          </cell>
          <cell r="B21">
            <v>6.8761384335154829E-2</v>
          </cell>
          <cell r="C21">
            <v>5.1912568306010931E-2</v>
          </cell>
          <cell r="D21">
            <v>3.8479052823315117E-2</v>
          </cell>
          <cell r="E21">
            <v>2.8688524590163935E-2</v>
          </cell>
          <cell r="F21">
            <v>2.185792349726776E-2</v>
          </cell>
          <cell r="G21">
            <v>1.5027322404371584E-2</v>
          </cell>
          <cell r="H21">
            <v>1.0815118397085609E-2</v>
          </cell>
          <cell r="I21">
            <v>6.9444444444444441E-3</v>
          </cell>
          <cell r="J21">
            <v>3.5291438979963572E-3</v>
          </cell>
          <cell r="K21">
            <v>7.9690346083788712E-4</v>
          </cell>
          <cell r="L21">
            <v>0</v>
          </cell>
        </row>
        <row r="22">
          <cell r="A22">
            <v>2009</v>
          </cell>
          <cell r="B22">
            <v>6.860730593607306E-2</v>
          </cell>
          <cell r="C22">
            <v>0.05</v>
          </cell>
          <cell r="D22">
            <v>3.8698630136986302E-2</v>
          </cell>
          <cell r="E22">
            <v>2.7511415525114154E-2</v>
          </cell>
          <cell r="F22">
            <v>1.7009132420091323E-2</v>
          </cell>
          <cell r="G22">
            <v>9.7031963470319629E-3</v>
          </cell>
          <cell r="H22">
            <v>5.2511415525114159E-3</v>
          </cell>
          <cell r="I22">
            <v>3.0821917808219177E-3</v>
          </cell>
          <cell r="J22">
            <v>1.3698630136986301E-3</v>
          </cell>
          <cell r="K22">
            <v>1.1415525114155251E-3</v>
          </cell>
          <cell r="L22">
            <v>4.5662100456621003E-4</v>
          </cell>
        </row>
        <row r="23">
          <cell r="A23">
            <v>2010</v>
          </cell>
          <cell r="B23">
            <v>6.2899543378995434E-2</v>
          </cell>
          <cell r="C23">
            <v>5.194063926940639E-2</v>
          </cell>
          <cell r="D23">
            <v>4.2808219178082189E-2</v>
          </cell>
          <cell r="E23">
            <v>3.6187214611872145E-2</v>
          </cell>
          <cell r="F23">
            <v>2.8424657534246577E-2</v>
          </cell>
          <cell r="G23">
            <v>2.1461187214611873E-2</v>
          </cell>
          <cell r="H23">
            <v>1.5296803652968037E-2</v>
          </cell>
          <cell r="I23">
            <v>1.0844748858447488E-2</v>
          </cell>
          <cell r="J23">
            <v>8.5616438356164379E-3</v>
          </cell>
          <cell r="K23">
            <v>6.392694063926941E-3</v>
          </cell>
          <cell r="L23">
            <v>3.9954337899543377E-3</v>
          </cell>
        </row>
        <row r="24">
          <cell r="A24">
            <v>2011</v>
          </cell>
          <cell r="B24">
            <v>7.5913242009132423E-2</v>
          </cell>
          <cell r="C24">
            <v>5.7990867579908678E-2</v>
          </cell>
          <cell r="D24">
            <v>4.0639269406392696E-2</v>
          </cell>
          <cell r="E24">
            <v>2.7625570776255708E-2</v>
          </cell>
          <cell r="F24">
            <v>1.9178082191780823E-2</v>
          </cell>
          <cell r="G24">
            <v>1.3356164383561644E-2</v>
          </cell>
          <cell r="H24">
            <v>7.6484018264840184E-3</v>
          </cell>
          <cell r="I24">
            <v>4.5662100456621002E-3</v>
          </cell>
          <cell r="J24">
            <v>2.8538812785388126E-3</v>
          </cell>
          <cell r="K24">
            <v>1.4840182648401827E-3</v>
          </cell>
          <cell r="L24">
            <v>9.1324200913242006E-4</v>
          </cell>
        </row>
        <row r="25">
          <cell r="A25">
            <v>2012</v>
          </cell>
          <cell r="B25">
            <v>9.1757741347905278E-2</v>
          </cell>
          <cell r="C25">
            <v>7.251821493624773E-2</v>
          </cell>
          <cell r="D25">
            <v>5.4758652094717669E-2</v>
          </cell>
          <cell r="E25">
            <v>4.1666666666666664E-2</v>
          </cell>
          <cell r="F25">
            <v>3.0282331511839709E-2</v>
          </cell>
          <cell r="G25">
            <v>2.2313296903460837E-2</v>
          </cell>
          <cell r="H25">
            <v>1.6393442622950821E-2</v>
          </cell>
          <cell r="I25">
            <v>1.2181238615664846E-2</v>
          </cell>
          <cell r="J25">
            <v>7.9690346083788714E-3</v>
          </cell>
          <cell r="K25">
            <v>4.7814207650273225E-3</v>
          </cell>
          <cell r="L25">
            <v>3.756830601092896E-3</v>
          </cell>
        </row>
        <row r="26">
          <cell r="A26">
            <v>2013</v>
          </cell>
          <cell r="B26">
            <v>7.8538812785388129E-2</v>
          </cell>
          <cell r="C26">
            <v>6.3242009132420091E-2</v>
          </cell>
          <cell r="D26">
            <v>0.05</v>
          </cell>
          <cell r="E26">
            <v>4.0182648401826483E-2</v>
          </cell>
          <cell r="F26">
            <v>3.1963470319634701E-2</v>
          </cell>
          <cell r="G26">
            <v>2.4657534246575342E-2</v>
          </cell>
          <cell r="H26">
            <v>1.872146118721461E-2</v>
          </cell>
          <cell r="I26">
            <v>1.4155251141552512E-2</v>
          </cell>
          <cell r="J26">
            <v>1.0616438356164383E-2</v>
          </cell>
          <cell r="K26">
            <v>8.1050228310502286E-3</v>
          </cell>
          <cell r="L26">
            <v>5.5936073059360729E-3</v>
          </cell>
        </row>
        <row r="27">
          <cell r="A27">
            <v>2014</v>
          </cell>
          <cell r="B27">
            <v>6.5981735159817353E-2</v>
          </cell>
          <cell r="C27">
            <v>4.942922374429224E-2</v>
          </cell>
          <cell r="D27">
            <v>3.6529680365296802E-2</v>
          </cell>
          <cell r="E27">
            <v>2.6027397260273973E-2</v>
          </cell>
          <cell r="F27">
            <v>2.0091324200913242E-2</v>
          </cell>
          <cell r="G27">
            <v>1.449771689497717E-2</v>
          </cell>
          <cell r="H27">
            <v>1.0045662100456621E-2</v>
          </cell>
          <cell r="I27">
            <v>7.3059360730593605E-3</v>
          </cell>
          <cell r="J27">
            <v>5.1369863013698627E-3</v>
          </cell>
          <cell r="K27">
            <v>3.0821917808219177E-3</v>
          </cell>
          <cell r="L27">
            <v>1.5981735159817352E-3</v>
          </cell>
        </row>
        <row r="28">
          <cell r="A28">
            <v>2015</v>
          </cell>
          <cell r="B28">
            <v>9.4977168949771693E-2</v>
          </cell>
          <cell r="C28">
            <v>8.0821917808219179E-2</v>
          </cell>
          <cell r="D28">
            <v>7.0205479452054798E-2</v>
          </cell>
          <cell r="E28">
            <v>5.9474885844748859E-2</v>
          </cell>
          <cell r="F28">
            <v>4.8972602739726027E-2</v>
          </cell>
          <cell r="G28">
            <v>3.9497716894977171E-2</v>
          </cell>
          <cell r="H28">
            <v>3.287671232876712E-2</v>
          </cell>
          <cell r="I28">
            <v>2.7283105022831051E-2</v>
          </cell>
          <cell r="J28">
            <v>2.2031963470319636E-2</v>
          </cell>
          <cell r="K28">
            <v>1.678082191780822E-2</v>
          </cell>
          <cell r="L28">
            <v>1.2214611872146119E-2</v>
          </cell>
        </row>
        <row r="29">
          <cell r="A29">
            <v>2016</v>
          </cell>
          <cell r="B29">
            <v>8.3105646630236799E-2</v>
          </cell>
          <cell r="C29">
            <v>6.62568306010929E-2</v>
          </cell>
          <cell r="D29">
            <v>5.1912568306010931E-2</v>
          </cell>
          <cell r="E29">
            <v>3.8365209471766852E-2</v>
          </cell>
          <cell r="F29">
            <v>2.7777777777777776E-2</v>
          </cell>
          <cell r="G29">
            <v>1.9239526411657559E-2</v>
          </cell>
          <cell r="H29">
            <v>1.377504553734062E-2</v>
          </cell>
          <cell r="I29">
            <v>9.4489981785063747E-3</v>
          </cell>
          <cell r="J29">
            <v>6.7167577413479052E-3</v>
          </cell>
          <cell r="K29">
            <v>3.4153005464480873E-3</v>
          </cell>
          <cell r="L29">
            <v>1.2522768670309653E-3</v>
          </cell>
        </row>
        <row r="30">
          <cell r="A30">
            <v>2017</v>
          </cell>
          <cell r="B30">
            <v>8.8584474885844755E-2</v>
          </cell>
          <cell r="C30">
            <v>7.2374429223744291E-2</v>
          </cell>
          <cell r="D30">
            <v>5.6164383561643834E-2</v>
          </cell>
          <cell r="E30">
            <v>4.1666666666666664E-2</v>
          </cell>
          <cell r="F30">
            <v>3.093607305936073E-2</v>
          </cell>
          <cell r="G30">
            <v>2.1689497716894976E-2</v>
          </cell>
          <cell r="H30">
            <v>1.4611872146118721E-2</v>
          </cell>
          <cell r="I30">
            <v>9.4748858447488583E-3</v>
          </cell>
          <cell r="J30">
            <v>5.2511415525114159E-3</v>
          </cell>
          <cell r="K30">
            <v>2.9680365296803654E-3</v>
          </cell>
          <cell r="L30">
            <v>1.0273972602739725E-3</v>
          </cell>
        </row>
        <row r="31">
          <cell r="A31">
            <v>2018</v>
          </cell>
          <cell r="B31">
            <v>0.13926940639269406</v>
          </cell>
          <cell r="C31">
            <v>0.11689497716894977</v>
          </cell>
          <cell r="D31">
            <v>9.3721461187214611E-2</v>
          </cell>
          <cell r="E31">
            <v>7.5570776255707767E-2</v>
          </cell>
          <cell r="F31">
            <v>5.9589041095890409E-2</v>
          </cell>
          <cell r="G31">
            <v>4.3264840182648402E-2</v>
          </cell>
          <cell r="H31">
            <v>2.9566210045662102E-2</v>
          </cell>
          <cell r="I31">
            <v>2.0547945205479451E-2</v>
          </cell>
          <cell r="J31">
            <v>1.1986301369863013E-2</v>
          </cell>
          <cell r="K31">
            <v>7.534246575342466E-3</v>
          </cell>
          <cell r="L31">
            <v>4.2237442922374432E-3</v>
          </cell>
        </row>
        <row r="32">
          <cell r="A32">
            <v>2019</v>
          </cell>
          <cell r="B32">
            <v>0.10171232876712329</v>
          </cell>
          <cell r="C32">
            <v>8.253424657534246E-2</v>
          </cell>
          <cell r="D32">
            <v>6.609589041095891E-2</v>
          </cell>
          <cell r="E32">
            <v>5.2968036529680365E-2</v>
          </cell>
          <cell r="F32">
            <v>4.0525114155251139E-2</v>
          </cell>
          <cell r="G32">
            <v>3.1963470319634701E-2</v>
          </cell>
          <cell r="H32">
            <v>2.5114155251141551E-2</v>
          </cell>
          <cell r="I32">
            <v>1.8378995433789954E-2</v>
          </cell>
          <cell r="J32">
            <v>1.2328767123287671E-2</v>
          </cell>
          <cell r="K32">
            <v>8.1050228310502286E-3</v>
          </cell>
          <cell r="L32">
            <v>6.5068493150684933E-3</v>
          </cell>
        </row>
        <row r="33">
          <cell r="A33">
            <v>2020</v>
          </cell>
          <cell r="B33">
            <v>8.7090163934426229E-2</v>
          </cell>
          <cell r="C33">
            <v>6.9102914389799638E-2</v>
          </cell>
          <cell r="D33">
            <v>5.3051001821493624E-2</v>
          </cell>
          <cell r="E33">
            <v>4.04143897996357E-2</v>
          </cell>
          <cell r="F33">
            <v>2.99408014571949E-2</v>
          </cell>
          <cell r="G33">
            <v>2.2199453551912569E-2</v>
          </cell>
          <cell r="H33">
            <v>1.5368852459016393E-2</v>
          </cell>
          <cell r="I33">
            <v>1.0018214936247723E-2</v>
          </cell>
          <cell r="J33">
            <v>7.6275045537340623E-3</v>
          </cell>
          <cell r="K33">
            <v>6.1475409836065573E-3</v>
          </cell>
          <cell r="L33">
            <v>4.2122040072859745E-3</v>
          </cell>
        </row>
        <row r="34">
          <cell r="A34">
            <v>2021</v>
          </cell>
          <cell r="B34">
            <v>7.0091324200913241E-2</v>
          </cell>
          <cell r="C34">
            <v>5.3538812785388128E-2</v>
          </cell>
          <cell r="D34">
            <v>3.801369863013699E-2</v>
          </cell>
          <cell r="E34">
            <v>2.4657534246575342E-2</v>
          </cell>
          <cell r="F34">
            <v>1.632420091324201E-2</v>
          </cell>
          <cell r="G34">
            <v>1.0388127853881279E-2</v>
          </cell>
          <cell r="H34">
            <v>6.392694063926941E-3</v>
          </cell>
          <cell r="I34">
            <v>4.2237442922374432E-3</v>
          </cell>
          <cell r="J34">
            <v>2.2831050228310501E-3</v>
          </cell>
          <cell r="K34">
            <v>1.5981735159817352E-3</v>
          </cell>
          <cell r="L34">
            <v>5.7077625570776253E-4</v>
          </cell>
        </row>
        <row r="35">
          <cell r="A35">
            <v>2022</v>
          </cell>
          <cell r="B35">
            <v>0.11267123287671232</v>
          </cell>
          <cell r="C35">
            <v>9.3378995433789955E-2</v>
          </cell>
          <cell r="D35">
            <v>7.8652968036529686E-2</v>
          </cell>
          <cell r="E35">
            <v>6.3356164383561647E-2</v>
          </cell>
          <cell r="F35">
            <v>5.0570776255707765E-2</v>
          </cell>
          <cell r="G35">
            <v>3.6073059360730596E-2</v>
          </cell>
          <cell r="H35">
            <v>2.4885844748858448E-2</v>
          </cell>
          <cell r="I35">
            <v>1.906392694063927E-2</v>
          </cell>
          <cell r="J35">
            <v>1.2671232876712329E-2</v>
          </cell>
          <cell r="K35">
            <v>8.7899543378995425E-3</v>
          </cell>
          <cell r="L35">
            <v>6.5068493150684933E-3</v>
          </cell>
        </row>
        <row r="36">
          <cell r="A36">
            <v>2023</v>
          </cell>
          <cell r="B36">
            <v>0.10799086757990868</v>
          </cell>
          <cell r="C36">
            <v>8.6073059360730592E-2</v>
          </cell>
          <cell r="D36">
            <v>6.6438356164383566E-2</v>
          </cell>
          <cell r="E36">
            <v>5.171232876712329E-2</v>
          </cell>
          <cell r="F36">
            <v>3.9041095890410958E-2</v>
          </cell>
          <cell r="G36">
            <v>2.9109589041095889E-2</v>
          </cell>
          <cell r="H36">
            <v>2.0890410958904111E-2</v>
          </cell>
          <cell r="I36">
            <v>1.3698630136986301E-2</v>
          </cell>
          <cell r="J36">
            <v>9.4748858447488583E-3</v>
          </cell>
          <cell r="K36">
            <v>5.4794520547945206E-3</v>
          </cell>
          <cell r="L36">
            <v>3.3105022831050228E-3</v>
          </cell>
        </row>
        <row r="37">
          <cell r="A37">
            <v>2024</v>
          </cell>
          <cell r="B37">
            <v>0.10132058287795993</v>
          </cell>
          <cell r="C37">
            <v>8.2536429872495445E-2</v>
          </cell>
          <cell r="D37">
            <v>6.3524590163934427E-2</v>
          </cell>
          <cell r="E37">
            <v>4.9863387978142076E-2</v>
          </cell>
          <cell r="F37">
            <v>3.9503642987249545E-2</v>
          </cell>
          <cell r="G37">
            <v>2.9371584699453553E-2</v>
          </cell>
          <cell r="H37">
            <v>2.0264116575591986E-2</v>
          </cell>
          <cell r="I37">
            <v>1.2522768670309653E-2</v>
          </cell>
          <cell r="J37">
            <v>8.6520947176684879E-3</v>
          </cell>
          <cell r="K37">
            <v>5.1229508196721308E-3</v>
          </cell>
          <cell r="L37">
            <v>2.3907103825136613E-3</v>
          </cell>
        </row>
        <row r="38">
          <cell r="B38">
            <v>8.168260473588343E-2</v>
          </cell>
          <cell r="C38">
            <v>6.5289162112932606E-2</v>
          </cell>
          <cell r="D38">
            <v>5.1058743169398908E-2</v>
          </cell>
          <cell r="E38">
            <v>3.9162112932604735E-2</v>
          </cell>
          <cell r="F38">
            <v>3.0680783242258654E-2</v>
          </cell>
          <cell r="G38">
            <v>2.2313296903460837E-2</v>
          </cell>
          <cell r="H38">
            <v>1.5368852459016393E-2</v>
          </cell>
          <cell r="I38">
            <v>8.8228597449908925E-3</v>
          </cell>
          <cell r="J38">
            <v>5.2367941712204002E-3</v>
          </cell>
          <cell r="K38">
            <v>2.6183970856102001E-3</v>
          </cell>
          <cell r="L38">
            <v>1.1953551912568306E-3</v>
          </cell>
        </row>
        <row r="39">
          <cell r="B39">
            <v>2.7772295026110966E-2</v>
          </cell>
          <cell r="C39">
            <v>2.4391319979454023E-2</v>
          </cell>
          <cell r="D39">
            <v>1.7629369886140007E-2</v>
          </cell>
          <cell r="E39">
            <v>1.513388830408367E-2</v>
          </cell>
          <cell r="F39">
            <v>1.2477407910281733E-2</v>
          </cell>
          <cell r="G39">
            <v>9.9819263282254021E-3</v>
          </cell>
          <cell r="H39">
            <v>6.9229489050595524E-3</v>
          </cell>
          <cell r="I39">
            <v>5.2324613817310529E-3</v>
          </cell>
          <cell r="J39">
            <v>4.8299643523671285E-3</v>
          </cell>
          <cell r="K39">
            <v>3.5419738584025607E-3</v>
          </cell>
          <cell r="L39">
            <v>1.6904875233284948E-3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">
  <a:themeElements>
    <a:clrScheme name="BayLfSt">
      <a:dk1>
        <a:sysClr val="windowText" lastClr="000000"/>
      </a:dk1>
      <a:lt1>
        <a:srgbClr val="FFFFFF"/>
      </a:lt1>
      <a:dk2>
        <a:srgbClr val="B2B2B2"/>
      </a:dk2>
      <a:lt2>
        <a:srgbClr val="FFFFFF"/>
      </a:lt2>
      <a:accent1>
        <a:srgbClr val="004868"/>
      </a:accent1>
      <a:accent2>
        <a:srgbClr val="EB8500"/>
      </a:accent2>
      <a:accent3>
        <a:srgbClr val="777777"/>
      </a:accent3>
      <a:accent4>
        <a:srgbClr val="446699"/>
      </a:accent4>
      <a:accent5>
        <a:srgbClr val="B2B2B2"/>
      </a:accent5>
      <a:accent6>
        <a:srgbClr val="FFC971"/>
      </a:accent6>
      <a:hlink>
        <a:srgbClr val="004868"/>
      </a:hlink>
      <a:folHlink>
        <a:srgbClr val="446699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5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image" Target="../media/image4.emf"/><Relationship Id="rId5" Type="http://schemas.openxmlformats.org/officeDocument/2006/relationships/control" Target="../activeX/activeX2.xml"/><Relationship Id="rId10" Type="http://schemas.openxmlformats.org/officeDocument/2006/relationships/control" Target="../activeX/activeX5.xml"/><Relationship Id="rId4" Type="http://schemas.openxmlformats.org/officeDocument/2006/relationships/image" Target="../media/image1.emf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4BDE9-D15C-4A00-9CE8-0CFD6478FAD5}">
  <sheetPr codeName="Tabelle1"/>
  <dimension ref="A1:M15"/>
  <sheetViews>
    <sheetView tabSelected="1" zoomScale="120" zoomScaleNormal="120" workbookViewId="0">
      <selection activeCell="G22" sqref="G22"/>
    </sheetView>
  </sheetViews>
  <sheetFormatPr baseColWidth="10" defaultRowHeight="13.8" x14ac:dyDescent="0.25"/>
  <sheetData>
    <row r="1" spans="1:13" ht="17.399999999999999" x14ac:dyDescent="0.3">
      <c r="A1" s="1" t="s">
        <v>0</v>
      </c>
      <c r="B1" s="1"/>
      <c r="C1" s="1"/>
      <c r="D1" s="1"/>
      <c r="E1" s="1"/>
      <c r="F1" s="1"/>
      <c r="G1" s="1"/>
      <c r="H1" s="12"/>
      <c r="I1" s="12"/>
      <c r="J1" s="12"/>
      <c r="K1" s="12"/>
      <c r="L1" s="12"/>
      <c r="M1" s="12"/>
    </row>
    <row r="2" spans="1:13" x14ac:dyDescent="0.25">
      <c r="A2" s="2"/>
      <c r="B2" s="3"/>
      <c r="C2" s="3"/>
      <c r="D2" s="3"/>
      <c r="E2" s="3"/>
      <c r="F2" s="3"/>
      <c r="G2" s="3"/>
      <c r="H2" s="13"/>
      <c r="I2" s="13"/>
      <c r="J2" s="13"/>
      <c r="K2" s="13"/>
      <c r="L2" s="13"/>
      <c r="M2" s="13"/>
    </row>
    <row r="3" spans="1:13" x14ac:dyDescent="0.25">
      <c r="H3" s="13"/>
      <c r="I3" s="13"/>
      <c r="J3" s="13"/>
      <c r="K3" s="13"/>
      <c r="L3" s="13"/>
      <c r="M3" s="13"/>
    </row>
    <row r="4" spans="1:13" x14ac:dyDescent="0.25">
      <c r="A4" s="4" t="s">
        <v>1</v>
      </c>
      <c r="B4" s="4"/>
      <c r="C4" s="4"/>
      <c r="D4" s="4"/>
      <c r="E4" s="4"/>
      <c r="F4" s="4"/>
      <c r="G4" s="4"/>
      <c r="H4" s="14"/>
      <c r="I4" s="14"/>
      <c r="J4" s="14"/>
      <c r="K4" s="14"/>
      <c r="L4" s="14"/>
      <c r="M4" s="14"/>
    </row>
    <row r="5" spans="1:13" x14ac:dyDescent="0.25">
      <c r="A5" s="5"/>
      <c r="B5" s="5"/>
      <c r="C5" s="5"/>
      <c r="D5" s="5"/>
      <c r="E5" s="5"/>
      <c r="F5" s="5"/>
      <c r="G5" s="5"/>
      <c r="H5" s="14"/>
      <c r="I5" s="14"/>
      <c r="J5" s="13"/>
      <c r="K5" s="13"/>
      <c r="L5" s="13"/>
      <c r="M5" s="13"/>
    </row>
    <row r="6" spans="1:13" x14ac:dyDescent="0.25">
      <c r="A6" s="6" t="s">
        <v>19</v>
      </c>
      <c r="B6" s="5"/>
      <c r="C6" s="5"/>
      <c r="D6" s="5"/>
      <c r="E6" s="5"/>
      <c r="F6" s="5"/>
      <c r="G6" s="5"/>
      <c r="H6" s="14"/>
      <c r="I6" s="14"/>
      <c r="J6" s="13"/>
      <c r="K6" s="13"/>
      <c r="L6" s="13"/>
      <c r="M6" s="13"/>
    </row>
    <row r="7" spans="1:13" x14ac:dyDescent="0.25">
      <c r="A7" s="5"/>
      <c r="B7" s="5"/>
      <c r="C7" s="5"/>
      <c r="D7" s="5"/>
      <c r="E7" s="5"/>
      <c r="F7" s="5"/>
      <c r="G7" s="5"/>
      <c r="H7" s="5"/>
      <c r="I7" s="5"/>
    </row>
    <row r="8" spans="1:13" x14ac:dyDescent="0.25">
      <c r="A8" s="7"/>
      <c r="B8" s="5"/>
      <c r="C8" s="5"/>
      <c r="D8" s="5"/>
      <c r="E8" s="5"/>
      <c r="F8" s="5"/>
      <c r="G8" s="5"/>
      <c r="H8" s="5"/>
      <c r="I8" s="5"/>
    </row>
    <row r="11" spans="1:13" ht="13.8" customHeight="1" x14ac:dyDescent="0.25">
      <c r="A11" s="8" t="s">
        <v>18</v>
      </c>
    </row>
    <row r="13" spans="1:13" ht="13.8" customHeight="1" x14ac:dyDescent="0.25">
      <c r="A13" s="6" t="s">
        <v>2</v>
      </c>
      <c r="C13" s="9" t="s">
        <v>4</v>
      </c>
      <c r="D13" s="6" t="s">
        <v>3</v>
      </c>
      <c r="F13" s="10" t="s">
        <v>4</v>
      </c>
    </row>
    <row r="15" spans="1:13" ht="13.8" customHeight="1" x14ac:dyDescent="0.25">
      <c r="A15" s="11" t="s">
        <v>4</v>
      </c>
      <c r="B15" t="s">
        <v>30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038" r:id="rId3" name="TBox_Bis">
          <controlPr defaultSize="0" autoLine="0" r:id="rId4">
            <anchor moveWithCells="1">
              <from>
                <xdr:col>3</xdr:col>
                <xdr:colOff>510540</xdr:colOff>
                <xdr:row>11</xdr:row>
                <xdr:rowOff>129540</xdr:rowOff>
              </from>
              <to>
                <xdr:col>4</xdr:col>
                <xdr:colOff>723900</xdr:colOff>
                <xdr:row>13</xdr:row>
                <xdr:rowOff>60960</xdr:rowOff>
              </to>
            </anchor>
          </controlPr>
        </control>
      </mc:Choice>
      <mc:Fallback>
        <control shapeId="1038" r:id="rId3" name="TBox_Bis"/>
      </mc:Fallback>
    </mc:AlternateContent>
    <mc:AlternateContent xmlns:mc="http://schemas.openxmlformats.org/markup-compatibility/2006">
      <mc:Choice Requires="x14">
        <control shapeId="1037" r:id="rId5" name="SpinB_Bis">
          <controlPr defaultSize="0" autoLine="0" r:id="rId6">
            <anchor moveWithCells="1">
              <from>
                <xdr:col>4</xdr:col>
                <xdr:colOff>708660</xdr:colOff>
                <xdr:row>11</xdr:row>
                <xdr:rowOff>121920</xdr:rowOff>
              </from>
              <to>
                <xdr:col>5</xdr:col>
                <xdr:colOff>0</xdr:colOff>
                <xdr:row>13</xdr:row>
                <xdr:rowOff>68580</xdr:rowOff>
              </to>
            </anchor>
          </controlPr>
        </control>
      </mc:Choice>
      <mc:Fallback>
        <control shapeId="1037" r:id="rId5" name="SpinB_Bis"/>
      </mc:Fallback>
    </mc:AlternateContent>
    <mc:AlternateContent xmlns:mc="http://schemas.openxmlformats.org/markup-compatibility/2006">
      <mc:Choice Requires="x14">
        <control shapeId="1036" r:id="rId7" name="SpinB_Von">
          <controlPr defaultSize="0" autoLine="0" r:id="rId6">
            <anchor moveWithCells="1">
              <from>
                <xdr:col>1</xdr:col>
                <xdr:colOff>723900</xdr:colOff>
                <xdr:row>11</xdr:row>
                <xdr:rowOff>129540</xdr:rowOff>
              </from>
              <to>
                <xdr:col>2</xdr:col>
                <xdr:colOff>22860</xdr:colOff>
                <xdr:row>13</xdr:row>
                <xdr:rowOff>76200</xdr:rowOff>
              </to>
            </anchor>
          </controlPr>
        </control>
      </mc:Choice>
      <mc:Fallback>
        <control shapeId="1036" r:id="rId7" name="SpinB_Von"/>
      </mc:Fallback>
    </mc:AlternateContent>
    <mc:AlternateContent xmlns:mc="http://schemas.openxmlformats.org/markup-compatibility/2006">
      <mc:Choice Requires="x14">
        <control shapeId="1035" r:id="rId8" name="TBox_Von">
          <controlPr defaultSize="0" autoLine="0" autoPict="0" r:id="rId9">
            <anchor moveWithCells="1">
              <from>
                <xdr:col>0</xdr:col>
                <xdr:colOff>525780</xdr:colOff>
                <xdr:row>11</xdr:row>
                <xdr:rowOff>137160</xdr:rowOff>
              </from>
              <to>
                <xdr:col>1</xdr:col>
                <xdr:colOff>739140</xdr:colOff>
                <xdr:row>13</xdr:row>
                <xdr:rowOff>53340</xdr:rowOff>
              </to>
            </anchor>
          </controlPr>
        </control>
      </mc:Choice>
      <mc:Fallback>
        <control shapeId="1035" r:id="rId8" name="TBox_Von"/>
      </mc:Fallback>
    </mc:AlternateContent>
    <mc:AlternateContent xmlns:mc="http://schemas.openxmlformats.org/markup-compatibility/2006">
      <mc:Choice Requires="x14">
        <control shapeId="1026" r:id="rId10" name="CButton_Auswerten">
          <controlPr defaultSize="0" autoLine="0" r:id="rId11">
            <anchor moveWithCells="1">
              <from>
                <xdr:col>1</xdr:col>
                <xdr:colOff>449580</xdr:colOff>
                <xdr:row>16</xdr:row>
                <xdr:rowOff>121920</xdr:rowOff>
              </from>
              <to>
                <xdr:col>3</xdr:col>
                <xdr:colOff>365760</xdr:colOff>
                <xdr:row>18</xdr:row>
                <xdr:rowOff>144780</xdr:rowOff>
              </to>
            </anchor>
          </controlPr>
        </control>
      </mc:Choice>
      <mc:Fallback>
        <control shapeId="1026" r:id="rId10" name="CButton_Auswerten"/>
      </mc:Fallback>
    </mc:AlternateContent>
    <mc:AlternateContent xmlns:mc="http://schemas.openxmlformats.org/markup-compatibility/2006">
      <mc:Choice Requires="x14">
        <control shapeId="1025" r:id="rId12" name="CBox_Datei">
          <controlPr defaultSize="0" autoLine="0" autoPict="0" r:id="rId13">
            <anchor moveWithCells="1">
              <from>
                <xdr:col>0</xdr:col>
                <xdr:colOff>289560</xdr:colOff>
                <xdr:row>7</xdr:row>
                <xdr:rowOff>7620</xdr:rowOff>
              </from>
              <to>
                <xdr:col>5</xdr:col>
                <xdr:colOff>60960</xdr:colOff>
                <xdr:row>8</xdr:row>
                <xdr:rowOff>144780</xdr:rowOff>
              </to>
            </anchor>
          </controlPr>
        </control>
      </mc:Choice>
      <mc:Fallback>
        <control shapeId="1025" r:id="rId12" name="CBox_Datei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C653-2770-481D-BE96-35195926549A}">
  <sheetPr codeName="Tabelle2"/>
  <dimension ref="A1:M78"/>
  <sheetViews>
    <sheetView topLeftCell="A2" zoomScale="88" zoomScaleNormal="120" workbookViewId="0">
      <selection activeCell="P24" sqref="P24"/>
    </sheetView>
  </sheetViews>
  <sheetFormatPr baseColWidth="10" defaultRowHeight="13.8" x14ac:dyDescent="0.25"/>
  <sheetData>
    <row r="1" spans="1:13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s="2" t="s">
        <v>11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4" spans="1:13" x14ac:dyDescent="0.25">
      <c r="A4" s="4" t="s">
        <v>5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25" spans="1:13" x14ac:dyDescent="0.25">
      <c r="A25" s="4" t="s">
        <v>6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7" spans="1:13" x14ac:dyDescent="0.25">
      <c r="A27" t="s">
        <v>20</v>
      </c>
    </row>
    <row r="28" spans="1:13" ht="14.4" thickBot="1" x14ac:dyDescent="0.3"/>
    <row r="29" spans="1:13" ht="14.4" thickBot="1" x14ac:dyDescent="0.3">
      <c r="A29" s="15"/>
      <c r="B29" s="16">
        <v>22</v>
      </c>
      <c r="C29" s="17">
        <v>23</v>
      </c>
      <c r="D29" s="17">
        <v>24</v>
      </c>
      <c r="E29" s="17">
        <v>25</v>
      </c>
      <c r="F29" s="17">
        <v>26</v>
      </c>
      <c r="G29" s="17">
        <v>27</v>
      </c>
      <c r="H29" s="17">
        <v>28</v>
      </c>
      <c r="I29" s="17">
        <v>29</v>
      </c>
      <c r="J29" s="17">
        <v>30</v>
      </c>
      <c r="K29" s="17">
        <v>31</v>
      </c>
      <c r="L29" s="18">
        <v>32</v>
      </c>
    </row>
    <row r="30" spans="1:13" x14ac:dyDescent="0.25">
      <c r="A30" s="19">
        <v>2014</v>
      </c>
      <c r="B30" s="20">
        <v>6.5981735159817353E-2</v>
      </c>
      <c r="C30" s="20">
        <v>4.942922374429224E-2</v>
      </c>
      <c r="D30" s="20">
        <v>3.6529680365296802E-2</v>
      </c>
      <c r="E30" s="20">
        <v>2.6027397260273973E-2</v>
      </c>
      <c r="F30" s="20">
        <v>2.0091324200913242E-2</v>
      </c>
      <c r="G30" s="20">
        <v>1.449771689497717E-2</v>
      </c>
      <c r="H30" s="20">
        <v>1.0045662100456621E-2</v>
      </c>
      <c r="I30" s="20">
        <v>7.3059360730593605E-3</v>
      </c>
      <c r="J30" s="20">
        <v>5.1369863013698627E-3</v>
      </c>
      <c r="K30" s="20">
        <v>3.0821917808219177E-3</v>
      </c>
      <c r="L30" s="38">
        <v>1.5981735159817352E-3</v>
      </c>
    </row>
    <row r="31" spans="1:13" x14ac:dyDescent="0.25">
      <c r="A31" s="19">
        <v>2015</v>
      </c>
      <c r="B31" s="20">
        <v>9.4977168949771693E-2</v>
      </c>
      <c r="C31" s="20">
        <v>8.0821917808219179E-2</v>
      </c>
      <c r="D31" s="20">
        <v>7.0205479452054798E-2</v>
      </c>
      <c r="E31" s="20">
        <v>5.9474885844748859E-2</v>
      </c>
      <c r="F31" s="20">
        <v>4.8972602739726027E-2</v>
      </c>
      <c r="G31" s="20">
        <v>3.9497716894977171E-2</v>
      </c>
      <c r="H31" s="20">
        <v>3.287671232876712E-2</v>
      </c>
      <c r="I31" s="20">
        <v>2.7283105022831051E-2</v>
      </c>
      <c r="J31" s="20">
        <v>2.2031963470319636E-2</v>
      </c>
      <c r="K31" s="20">
        <v>1.678082191780822E-2</v>
      </c>
      <c r="L31" s="38">
        <v>1.2214611872146119E-2</v>
      </c>
    </row>
    <row r="32" spans="1:13" x14ac:dyDescent="0.25">
      <c r="A32" s="19">
        <v>2016</v>
      </c>
      <c r="B32" s="20">
        <v>8.3105646630236799E-2</v>
      </c>
      <c r="C32" s="20">
        <v>6.62568306010929E-2</v>
      </c>
      <c r="D32" s="20">
        <v>5.1912568306010931E-2</v>
      </c>
      <c r="E32" s="20">
        <v>3.8365209471766852E-2</v>
      </c>
      <c r="F32" s="20">
        <v>2.7777777777777776E-2</v>
      </c>
      <c r="G32" s="20">
        <v>1.9239526411657559E-2</v>
      </c>
      <c r="H32" s="20">
        <v>1.377504553734062E-2</v>
      </c>
      <c r="I32" s="20">
        <v>9.4489981785063747E-3</v>
      </c>
      <c r="J32" s="20">
        <v>6.7167577413479052E-3</v>
      </c>
      <c r="K32" s="20">
        <v>3.4153005464480873E-3</v>
      </c>
      <c r="L32" s="38">
        <v>1.2522768670309653E-3</v>
      </c>
    </row>
    <row r="33" spans="1:12" x14ac:dyDescent="0.25">
      <c r="A33" s="19">
        <v>2017</v>
      </c>
      <c r="B33" s="20">
        <v>8.8584474885844755E-2</v>
      </c>
      <c r="C33" s="20">
        <v>7.2374429223744291E-2</v>
      </c>
      <c r="D33" s="20">
        <v>5.6164383561643834E-2</v>
      </c>
      <c r="E33" s="20">
        <v>4.1666666666666664E-2</v>
      </c>
      <c r="F33" s="20">
        <v>3.093607305936073E-2</v>
      </c>
      <c r="G33" s="20">
        <v>2.1689497716894976E-2</v>
      </c>
      <c r="H33" s="20">
        <v>1.4611872146118721E-2</v>
      </c>
      <c r="I33" s="20">
        <v>9.4748858447488583E-3</v>
      </c>
      <c r="J33" s="20">
        <v>5.2511415525114159E-3</v>
      </c>
      <c r="K33" s="20">
        <v>2.9680365296803654E-3</v>
      </c>
      <c r="L33" s="38">
        <v>1.0273972602739725E-3</v>
      </c>
    </row>
    <row r="34" spans="1:12" x14ac:dyDescent="0.25">
      <c r="A34" s="19">
        <v>2018</v>
      </c>
      <c r="B34" s="20">
        <v>0.13926940639269406</v>
      </c>
      <c r="C34" s="20">
        <v>0.11689497716894977</v>
      </c>
      <c r="D34" s="20">
        <v>9.3721461187214611E-2</v>
      </c>
      <c r="E34" s="20">
        <v>7.5570776255707767E-2</v>
      </c>
      <c r="F34" s="20">
        <v>5.9589041095890409E-2</v>
      </c>
      <c r="G34" s="20">
        <v>4.3264840182648402E-2</v>
      </c>
      <c r="H34" s="20">
        <v>2.9566210045662102E-2</v>
      </c>
      <c r="I34" s="20">
        <v>2.0547945205479451E-2</v>
      </c>
      <c r="J34" s="20">
        <v>1.1986301369863013E-2</v>
      </c>
      <c r="K34" s="20">
        <v>7.534246575342466E-3</v>
      </c>
      <c r="L34" s="38">
        <v>4.2237442922374432E-3</v>
      </c>
    </row>
    <row r="35" spans="1:12" x14ac:dyDescent="0.25">
      <c r="A35" s="19">
        <v>2019</v>
      </c>
      <c r="B35" s="20">
        <v>0.10171232876712329</v>
      </c>
      <c r="C35" s="20">
        <v>8.253424657534246E-2</v>
      </c>
      <c r="D35" s="20">
        <v>6.609589041095891E-2</v>
      </c>
      <c r="E35" s="20">
        <v>5.2968036529680365E-2</v>
      </c>
      <c r="F35" s="20">
        <v>4.0525114155251139E-2</v>
      </c>
      <c r="G35" s="20">
        <v>3.1963470319634701E-2</v>
      </c>
      <c r="H35" s="20">
        <v>2.5114155251141551E-2</v>
      </c>
      <c r="I35" s="20">
        <v>1.8378995433789954E-2</v>
      </c>
      <c r="J35" s="20">
        <v>1.2328767123287671E-2</v>
      </c>
      <c r="K35" s="20">
        <v>8.1050228310502286E-3</v>
      </c>
      <c r="L35" s="38">
        <v>6.5068493150684933E-3</v>
      </c>
    </row>
    <row r="36" spans="1:12" x14ac:dyDescent="0.25">
      <c r="A36" s="19">
        <v>2020</v>
      </c>
      <c r="B36" s="20">
        <v>8.7090163934426229E-2</v>
      </c>
      <c r="C36" s="20">
        <v>6.9102914389799638E-2</v>
      </c>
      <c r="D36" s="20">
        <v>5.3051001821493624E-2</v>
      </c>
      <c r="E36" s="20">
        <v>4.04143897996357E-2</v>
      </c>
      <c r="F36" s="20">
        <v>2.99408014571949E-2</v>
      </c>
      <c r="G36" s="20">
        <v>2.2199453551912569E-2</v>
      </c>
      <c r="H36" s="20">
        <v>1.5368852459016393E-2</v>
      </c>
      <c r="I36" s="20">
        <v>1.0018214936247723E-2</v>
      </c>
      <c r="J36" s="20">
        <v>7.6275045537340623E-3</v>
      </c>
      <c r="K36" s="20">
        <v>6.1475409836065573E-3</v>
      </c>
      <c r="L36" s="38">
        <v>4.2122040072859745E-3</v>
      </c>
    </row>
    <row r="37" spans="1:12" x14ac:dyDescent="0.25">
      <c r="A37" s="19">
        <v>2021</v>
      </c>
      <c r="B37" s="20">
        <v>7.0091324200913241E-2</v>
      </c>
      <c r="C37" s="20">
        <v>5.3538812785388128E-2</v>
      </c>
      <c r="D37" s="20">
        <v>3.801369863013699E-2</v>
      </c>
      <c r="E37" s="20">
        <v>2.4657534246575342E-2</v>
      </c>
      <c r="F37" s="20">
        <v>1.632420091324201E-2</v>
      </c>
      <c r="G37" s="20">
        <v>1.0388127853881279E-2</v>
      </c>
      <c r="H37" s="20">
        <v>6.392694063926941E-3</v>
      </c>
      <c r="I37" s="20">
        <v>4.2237442922374432E-3</v>
      </c>
      <c r="J37" s="20">
        <v>2.2831050228310501E-3</v>
      </c>
      <c r="K37" s="20">
        <v>1.5981735159817352E-3</v>
      </c>
      <c r="L37" s="38">
        <v>5.7077625570776253E-4</v>
      </c>
    </row>
    <row r="38" spans="1:12" x14ac:dyDescent="0.25">
      <c r="A38" s="19">
        <v>2022</v>
      </c>
      <c r="B38" s="20">
        <v>0.11267123287671232</v>
      </c>
      <c r="C38" s="20">
        <v>9.3378995433789955E-2</v>
      </c>
      <c r="D38" s="20">
        <v>7.8652968036529686E-2</v>
      </c>
      <c r="E38" s="20">
        <v>6.3356164383561647E-2</v>
      </c>
      <c r="F38" s="20">
        <v>5.0570776255707765E-2</v>
      </c>
      <c r="G38" s="20">
        <v>3.6073059360730596E-2</v>
      </c>
      <c r="H38" s="20">
        <v>2.4885844748858448E-2</v>
      </c>
      <c r="I38" s="20">
        <v>1.906392694063927E-2</v>
      </c>
      <c r="J38" s="20">
        <v>1.2671232876712329E-2</v>
      </c>
      <c r="K38" s="20">
        <v>8.7899543378995425E-3</v>
      </c>
      <c r="L38" s="38">
        <v>6.5068493150684933E-3</v>
      </c>
    </row>
    <row r="39" spans="1:12" x14ac:dyDescent="0.25">
      <c r="A39" s="19">
        <v>2023</v>
      </c>
      <c r="B39" s="20">
        <v>0.10799086757990868</v>
      </c>
      <c r="C39" s="20">
        <v>8.6073059360730592E-2</v>
      </c>
      <c r="D39" s="20">
        <v>6.6438356164383566E-2</v>
      </c>
      <c r="E39" s="20">
        <v>5.171232876712329E-2</v>
      </c>
      <c r="F39" s="20">
        <v>3.9041095890410958E-2</v>
      </c>
      <c r="G39" s="20">
        <v>2.9109589041095889E-2</v>
      </c>
      <c r="H39" s="20">
        <v>2.0890410958904111E-2</v>
      </c>
      <c r="I39" s="20">
        <v>1.3698630136986301E-2</v>
      </c>
      <c r="J39" s="20">
        <v>9.4748858447488583E-3</v>
      </c>
      <c r="K39" s="20">
        <v>5.4794520547945206E-3</v>
      </c>
      <c r="L39" s="38">
        <v>3.3105022831050228E-3</v>
      </c>
    </row>
    <row r="40" spans="1:12" ht="14.4" thickBot="1" x14ac:dyDescent="0.3">
      <c r="A40" s="19">
        <v>2024</v>
      </c>
      <c r="B40" s="20">
        <v>0.10132058287795993</v>
      </c>
      <c r="C40" s="20">
        <v>8.2536429872495445E-2</v>
      </c>
      <c r="D40" s="20">
        <v>6.3524590163934427E-2</v>
      </c>
      <c r="E40" s="20">
        <v>4.9863387978142076E-2</v>
      </c>
      <c r="F40" s="20">
        <v>3.9503642987249545E-2</v>
      </c>
      <c r="G40" s="20">
        <v>2.9371584699453553E-2</v>
      </c>
      <c r="H40" s="20">
        <v>2.0264116575591986E-2</v>
      </c>
      <c r="I40" s="20">
        <v>1.2522768670309653E-2</v>
      </c>
      <c r="J40" s="20">
        <v>8.6520947176684879E-3</v>
      </c>
      <c r="K40" s="20">
        <v>5.1229508196721308E-3</v>
      </c>
      <c r="L40" s="38">
        <v>2.3907103825136613E-3</v>
      </c>
    </row>
    <row r="41" spans="1:12" ht="14.4" thickBot="1" x14ac:dyDescent="0.3">
      <c r="A41" s="22" t="s">
        <v>7</v>
      </c>
      <c r="B41" s="23">
        <v>8.3651159018888643E-2</v>
      </c>
      <c r="C41" s="24">
        <v>6.5982826808393846E-2</v>
      </c>
      <c r="D41" s="24">
        <v>5.0027135264615614E-2</v>
      </c>
      <c r="E41" s="24">
        <v>3.7945392619208027E-2</v>
      </c>
      <c r="F41" s="24">
        <v>2.9797483594081395E-2</v>
      </c>
      <c r="G41" s="24">
        <v>2.1934650797215363E-2</v>
      </c>
      <c r="H41" s="24">
        <v>1.5154889338024304E-2</v>
      </c>
      <c r="I41" s="24">
        <v>9.9143523716845074E-3</v>
      </c>
      <c r="J41" s="24">
        <v>6.8945405095191753E-3</v>
      </c>
      <c r="K41" s="24">
        <v>4.1025713002470245E-3</v>
      </c>
      <c r="L41" s="25">
        <v>1.9944419492476982E-3</v>
      </c>
    </row>
    <row r="42" spans="1:12" ht="28.2" thickBot="1" x14ac:dyDescent="0.3">
      <c r="A42" s="21" t="s">
        <v>8</v>
      </c>
      <c r="B42" s="26">
        <v>2.4988338860817361E-2</v>
      </c>
      <c r="C42" s="27">
        <v>2.3410329959393301E-2</v>
      </c>
      <c r="D42" s="27">
        <v>1.9088283776135827E-2</v>
      </c>
      <c r="E42" s="27">
        <v>1.6854590672904124E-2</v>
      </c>
      <c r="F42" s="27">
        <v>1.3726582252373406E-2</v>
      </c>
      <c r="G42" s="27">
        <v>1.0517412787017505E-2</v>
      </c>
      <c r="H42" s="27">
        <v>7.2255384526142353E-3</v>
      </c>
      <c r="I42" s="27">
        <v>3.6888577058307088E-3</v>
      </c>
      <c r="J42" s="27">
        <v>2.4855569977706637E-3</v>
      </c>
      <c r="K42" s="27">
        <v>1.4430345551387266E-3</v>
      </c>
      <c r="L42" s="28">
        <v>5.6040819266506259E-4</v>
      </c>
    </row>
    <row r="45" spans="1:12" x14ac:dyDescent="0.25">
      <c r="A45" t="s">
        <v>9</v>
      </c>
    </row>
    <row r="46" spans="1:12" ht="14.4" thickBot="1" x14ac:dyDescent="0.3"/>
    <row r="47" spans="1:12" ht="14.4" thickBot="1" x14ac:dyDescent="0.3">
      <c r="A47" s="15"/>
      <c r="B47" s="16">
        <v>22</v>
      </c>
      <c r="C47" s="17">
        <v>23</v>
      </c>
      <c r="D47" s="17">
        <v>24</v>
      </c>
      <c r="E47" s="17">
        <v>25</v>
      </c>
      <c r="F47" s="17">
        <v>26</v>
      </c>
      <c r="G47" s="17">
        <v>27</v>
      </c>
      <c r="H47" s="17">
        <v>28</v>
      </c>
      <c r="I47" s="17">
        <v>29</v>
      </c>
      <c r="J47" s="17">
        <v>30</v>
      </c>
      <c r="K47" s="17">
        <v>31</v>
      </c>
      <c r="L47" s="18">
        <v>32</v>
      </c>
    </row>
    <row r="48" spans="1:12" x14ac:dyDescent="0.25">
      <c r="A48" s="19">
        <v>2014</v>
      </c>
      <c r="B48" s="35">
        <v>578</v>
      </c>
      <c r="C48" s="35">
        <v>433</v>
      </c>
      <c r="D48" s="35">
        <v>320</v>
      </c>
      <c r="E48" s="35">
        <v>228</v>
      </c>
      <c r="F48" s="35">
        <v>176</v>
      </c>
      <c r="G48" s="35">
        <v>127</v>
      </c>
      <c r="H48" s="35">
        <v>88</v>
      </c>
      <c r="I48" s="35">
        <v>64</v>
      </c>
      <c r="J48" s="35">
        <v>45</v>
      </c>
      <c r="K48" s="35">
        <v>27</v>
      </c>
      <c r="L48" s="39">
        <v>14</v>
      </c>
    </row>
    <row r="49" spans="1:12" x14ac:dyDescent="0.25">
      <c r="A49" s="19">
        <v>2015</v>
      </c>
      <c r="B49" s="35">
        <v>832</v>
      </c>
      <c r="C49" s="35">
        <v>708</v>
      </c>
      <c r="D49" s="35">
        <v>615</v>
      </c>
      <c r="E49" s="35">
        <v>521</v>
      </c>
      <c r="F49" s="35">
        <v>429</v>
      </c>
      <c r="G49" s="35">
        <v>346</v>
      </c>
      <c r="H49" s="35">
        <v>288</v>
      </c>
      <c r="I49" s="35">
        <v>239</v>
      </c>
      <c r="J49" s="35">
        <v>193</v>
      </c>
      <c r="K49" s="35">
        <v>147</v>
      </c>
      <c r="L49" s="39">
        <v>107</v>
      </c>
    </row>
    <row r="50" spans="1:12" x14ac:dyDescent="0.25">
      <c r="A50" s="19">
        <v>2016</v>
      </c>
      <c r="B50" s="35">
        <v>730</v>
      </c>
      <c r="C50" s="35">
        <v>582</v>
      </c>
      <c r="D50" s="35">
        <v>456</v>
      </c>
      <c r="E50" s="35">
        <v>337</v>
      </c>
      <c r="F50" s="35">
        <v>244</v>
      </c>
      <c r="G50" s="35">
        <v>169</v>
      </c>
      <c r="H50" s="35">
        <v>121</v>
      </c>
      <c r="I50" s="35">
        <v>83</v>
      </c>
      <c r="J50" s="35">
        <v>59</v>
      </c>
      <c r="K50" s="35">
        <v>30</v>
      </c>
      <c r="L50" s="39">
        <v>11</v>
      </c>
    </row>
    <row r="51" spans="1:12" x14ac:dyDescent="0.25">
      <c r="A51" s="19">
        <v>2017</v>
      </c>
      <c r="B51" s="35">
        <v>776</v>
      </c>
      <c r="C51" s="35">
        <v>634</v>
      </c>
      <c r="D51" s="35">
        <v>492</v>
      </c>
      <c r="E51" s="35">
        <v>365</v>
      </c>
      <c r="F51" s="35">
        <v>271</v>
      </c>
      <c r="G51" s="35">
        <v>190</v>
      </c>
      <c r="H51" s="35">
        <v>128</v>
      </c>
      <c r="I51" s="35">
        <v>83</v>
      </c>
      <c r="J51" s="35">
        <v>46</v>
      </c>
      <c r="K51" s="35">
        <v>26</v>
      </c>
      <c r="L51" s="39">
        <v>9</v>
      </c>
    </row>
    <row r="52" spans="1:12" x14ac:dyDescent="0.25">
      <c r="A52" s="19">
        <v>2018</v>
      </c>
      <c r="B52" s="35">
        <v>1220</v>
      </c>
      <c r="C52" s="35">
        <v>1024</v>
      </c>
      <c r="D52" s="35">
        <v>821</v>
      </c>
      <c r="E52" s="35">
        <v>662</v>
      </c>
      <c r="F52" s="35">
        <v>522</v>
      </c>
      <c r="G52" s="35">
        <v>379</v>
      </c>
      <c r="H52" s="35">
        <v>259</v>
      </c>
      <c r="I52" s="35">
        <v>180</v>
      </c>
      <c r="J52" s="35">
        <v>105</v>
      </c>
      <c r="K52" s="35">
        <v>66</v>
      </c>
      <c r="L52" s="39">
        <v>37</v>
      </c>
    </row>
    <row r="53" spans="1:12" x14ac:dyDescent="0.25">
      <c r="A53" s="19">
        <v>2019</v>
      </c>
      <c r="B53" s="35">
        <v>891</v>
      </c>
      <c r="C53" s="35">
        <v>723</v>
      </c>
      <c r="D53" s="35">
        <v>579</v>
      </c>
      <c r="E53" s="35">
        <v>464</v>
      </c>
      <c r="F53" s="35">
        <v>355</v>
      </c>
      <c r="G53" s="35">
        <v>280</v>
      </c>
      <c r="H53" s="35">
        <v>220</v>
      </c>
      <c r="I53" s="35">
        <v>161</v>
      </c>
      <c r="J53" s="35">
        <v>108</v>
      </c>
      <c r="K53" s="35">
        <v>71</v>
      </c>
      <c r="L53" s="39">
        <v>57</v>
      </c>
    </row>
    <row r="54" spans="1:12" x14ac:dyDescent="0.25">
      <c r="A54" s="19">
        <v>2020</v>
      </c>
      <c r="B54" s="35">
        <v>765</v>
      </c>
      <c r="C54" s="35">
        <v>607</v>
      </c>
      <c r="D54" s="35">
        <v>466</v>
      </c>
      <c r="E54" s="35">
        <v>355</v>
      </c>
      <c r="F54" s="35">
        <v>263</v>
      </c>
      <c r="G54" s="35">
        <v>195</v>
      </c>
      <c r="H54" s="35">
        <v>135</v>
      </c>
      <c r="I54" s="35">
        <v>88</v>
      </c>
      <c r="J54" s="35">
        <v>67</v>
      </c>
      <c r="K54" s="35">
        <v>54</v>
      </c>
      <c r="L54" s="39">
        <v>37</v>
      </c>
    </row>
    <row r="55" spans="1:12" x14ac:dyDescent="0.25">
      <c r="A55" s="19">
        <v>2021</v>
      </c>
      <c r="B55" s="35">
        <v>614</v>
      </c>
      <c r="C55" s="35">
        <v>469</v>
      </c>
      <c r="D55" s="35">
        <v>333</v>
      </c>
      <c r="E55" s="35">
        <v>216</v>
      </c>
      <c r="F55" s="35">
        <v>143</v>
      </c>
      <c r="G55" s="35">
        <v>91</v>
      </c>
      <c r="H55" s="35">
        <v>56</v>
      </c>
      <c r="I55" s="35">
        <v>37</v>
      </c>
      <c r="J55" s="35">
        <v>20</v>
      </c>
      <c r="K55" s="35">
        <v>14</v>
      </c>
      <c r="L55" s="39">
        <v>5</v>
      </c>
    </row>
    <row r="56" spans="1:12" x14ac:dyDescent="0.25">
      <c r="A56" s="19">
        <v>2022</v>
      </c>
      <c r="B56" s="35">
        <v>987</v>
      </c>
      <c r="C56" s="35">
        <v>818</v>
      </c>
      <c r="D56" s="35">
        <v>689</v>
      </c>
      <c r="E56" s="35">
        <v>555</v>
      </c>
      <c r="F56" s="35">
        <v>443</v>
      </c>
      <c r="G56" s="35">
        <v>316</v>
      </c>
      <c r="H56" s="35">
        <v>218</v>
      </c>
      <c r="I56" s="35">
        <v>167</v>
      </c>
      <c r="J56" s="35">
        <v>111</v>
      </c>
      <c r="K56" s="35">
        <v>77</v>
      </c>
      <c r="L56" s="39">
        <v>57</v>
      </c>
    </row>
    <row r="57" spans="1:12" x14ac:dyDescent="0.25">
      <c r="A57" s="19">
        <v>2023</v>
      </c>
      <c r="B57" s="35">
        <v>946</v>
      </c>
      <c r="C57" s="35">
        <v>754</v>
      </c>
      <c r="D57" s="35">
        <v>582</v>
      </c>
      <c r="E57" s="35">
        <v>453</v>
      </c>
      <c r="F57" s="35">
        <v>342</v>
      </c>
      <c r="G57" s="35">
        <v>255</v>
      </c>
      <c r="H57" s="35">
        <v>183</v>
      </c>
      <c r="I57" s="35">
        <v>120</v>
      </c>
      <c r="J57" s="35">
        <v>83</v>
      </c>
      <c r="K57" s="35">
        <v>48</v>
      </c>
      <c r="L57" s="39">
        <v>29</v>
      </c>
    </row>
    <row r="58" spans="1:12" ht="14.4" thickBot="1" x14ac:dyDescent="0.3">
      <c r="A58" s="19">
        <v>2024</v>
      </c>
      <c r="B58" s="35">
        <v>890</v>
      </c>
      <c r="C58" s="35">
        <v>725</v>
      </c>
      <c r="D58" s="35">
        <v>558</v>
      </c>
      <c r="E58" s="35">
        <v>438</v>
      </c>
      <c r="F58" s="35">
        <v>347</v>
      </c>
      <c r="G58" s="35">
        <v>258</v>
      </c>
      <c r="H58" s="35">
        <v>178</v>
      </c>
      <c r="I58" s="35">
        <v>110</v>
      </c>
      <c r="J58" s="35">
        <v>76</v>
      </c>
      <c r="K58" s="35">
        <v>45</v>
      </c>
      <c r="L58" s="39">
        <v>21</v>
      </c>
    </row>
    <row r="59" spans="1:12" ht="14.4" thickBot="1" x14ac:dyDescent="0.3">
      <c r="A59" s="22" t="s">
        <v>7</v>
      </c>
      <c r="B59" s="29">
        <v>734</v>
      </c>
      <c r="C59" s="30">
        <v>579</v>
      </c>
      <c r="D59" s="30">
        <v>439</v>
      </c>
      <c r="E59" s="30">
        <v>333</v>
      </c>
      <c r="F59" s="30">
        <v>261.5</v>
      </c>
      <c r="G59" s="30">
        <v>192.5</v>
      </c>
      <c r="H59" s="30">
        <v>133</v>
      </c>
      <c r="I59" s="30">
        <v>87</v>
      </c>
      <c r="J59" s="30">
        <v>60.5</v>
      </c>
      <c r="K59" s="30">
        <v>36</v>
      </c>
      <c r="L59" s="31">
        <v>17.5</v>
      </c>
    </row>
    <row r="60" spans="1:12" ht="28.2" thickBot="1" x14ac:dyDescent="0.3">
      <c r="A60" s="21" t="s">
        <v>8</v>
      </c>
      <c r="B60" s="32">
        <v>220.61731573020282</v>
      </c>
      <c r="C60" s="33">
        <v>206.47518010647187</v>
      </c>
      <c r="D60" s="33">
        <v>168.29141392239831</v>
      </c>
      <c r="E60" s="33">
        <v>148.49242404917499</v>
      </c>
      <c r="F60" s="33">
        <v>120.91525958289962</v>
      </c>
      <c r="G60" s="33">
        <v>92.630988335437721</v>
      </c>
      <c r="H60" s="33">
        <v>63.63961030678928</v>
      </c>
      <c r="I60" s="33">
        <v>32.526911934581186</v>
      </c>
      <c r="J60" s="33">
        <v>21.920310216782973</v>
      </c>
      <c r="K60" s="33">
        <v>12.727922061357855</v>
      </c>
      <c r="L60" s="34">
        <v>4.9497474683058327</v>
      </c>
    </row>
    <row r="63" spans="1:12" x14ac:dyDescent="0.25">
      <c r="A63" t="s">
        <v>10</v>
      </c>
    </row>
    <row r="64" spans="1:12" ht="14.4" thickBot="1" x14ac:dyDescent="0.3"/>
    <row r="65" spans="1:12" ht="14.4" thickBot="1" x14ac:dyDescent="0.3">
      <c r="A65" s="15"/>
      <c r="B65" s="16">
        <v>22</v>
      </c>
      <c r="C65" s="17">
        <v>23</v>
      </c>
      <c r="D65" s="17">
        <v>24</v>
      </c>
      <c r="E65" s="17">
        <v>25</v>
      </c>
      <c r="F65" s="17">
        <v>26</v>
      </c>
      <c r="G65" s="17">
        <v>27</v>
      </c>
      <c r="H65" s="17">
        <v>28</v>
      </c>
      <c r="I65" s="17">
        <v>29</v>
      </c>
      <c r="J65" s="17">
        <v>30</v>
      </c>
      <c r="K65" s="17">
        <v>31</v>
      </c>
      <c r="L65" s="18">
        <v>32</v>
      </c>
    </row>
    <row r="66" spans="1:12" x14ac:dyDescent="0.25">
      <c r="A66" s="19">
        <v>2014</v>
      </c>
      <c r="B66" s="35">
        <v>8182</v>
      </c>
      <c r="C66" s="35">
        <v>8327</v>
      </c>
      <c r="D66" s="35">
        <v>8440</v>
      </c>
      <c r="E66" s="35">
        <v>8532</v>
      </c>
      <c r="F66" s="35">
        <v>8584</v>
      </c>
      <c r="G66" s="35">
        <v>8633</v>
      </c>
      <c r="H66" s="35">
        <v>8672</v>
      </c>
      <c r="I66" s="35">
        <v>8696</v>
      </c>
      <c r="J66" s="35">
        <v>8715</v>
      </c>
      <c r="K66" s="35">
        <v>8733</v>
      </c>
      <c r="L66" s="39">
        <v>8746</v>
      </c>
    </row>
    <row r="67" spans="1:12" x14ac:dyDescent="0.25">
      <c r="A67" s="19">
        <v>2015</v>
      </c>
      <c r="B67" s="35">
        <v>7928</v>
      </c>
      <c r="C67" s="35">
        <v>8052</v>
      </c>
      <c r="D67" s="35">
        <v>8145</v>
      </c>
      <c r="E67" s="35">
        <v>8239</v>
      </c>
      <c r="F67" s="35">
        <v>8331</v>
      </c>
      <c r="G67" s="35">
        <v>8414</v>
      </c>
      <c r="H67" s="35">
        <v>8472</v>
      </c>
      <c r="I67" s="35">
        <v>8521</v>
      </c>
      <c r="J67" s="35">
        <v>8567</v>
      </c>
      <c r="K67" s="35">
        <v>8613</v>
      </c>
      <c r="L67" s="39">
        <v>8653</v>
      </c>
    </row>
    <row r="68" spans="1:12" x14ac:dyDescent="0.25">
      <c r="A68" s="19">
        <v>2016</v>
      </c>
      <c r="B68" s="35">
        <v>8054</v>
      </c>
      <c r="C68" s="35">
        <v>8202</v>
      </c>
      <c r="D68" s="35">
        <v>8328</v>
      </c>
      <c r="E68" s="35">
        <v>8447</v>
      </c>
      <c r="F68" s="35">
        <v>8540</v>
      </c>
      <c r="G68" s="35">
        <v>8615</v>
      </c>
      <c r="H68" s="35">
        <v>8663</v>
      </c>
      <c r="I68" s="35">
        <v>8701</v>
      </c>
      <c r="J68" s="35">
        <v>8725</v>
      </c>
      <c r="K68" s="35">
        <v>8754</v>
      </c>
      <c r="L68" s="39">
        <v>8773</v>
      </c>
    </row>
    <row r="69" spans="1:12" x14ac:dyDescent="0.25">
      <c r="A69" s="19">
        <v>2017</v>
      </c>
      <c r="B69" s="35">
        <v>7984</v>
      </c>
      <c r="C69" s="35">
        <v>8126</v>
      </c>
      <c r="D69" s="35">
        <v>8268</v>
      </c>
      <c r="E69" s="35">
        <v>8395</v>
      </c>
      <c r="F69" s="35">
        <v>8489</v>
      </c>
      <c r="G69" s="35">
        <v>8570</v>
      </c>
      <c r="H69" s="35">
        <v>8632</v>
      </c>
      <c r="I69" s="35">
        <v>8677</v>
      </c>
      <c r="J69" s="35">
        <v>8714</v>
      </c>
      <c r="K69" s="35">
        <v>8734</v>
      </c>
      <c r="L69" s="39">
        <v>8751</v>
      </c>
    </row>
    <row r="70" spans="1:12" x14ac:dyDescent="0.25">
      <c r="A70" s="19">
        <v>2018</v>
      </c>
      <c r="B70" s="35">
        <v>7540</v>
      </c>
      <c r="C70" s="35">
        <v>7736</v>
      </c>
      <c r="D70" s="35">
        <v>7939</v>
      </c>
      <c r="E70" s="35">
        <v>8098</v>
      </c>
      <c r="F70" s="35">
        <v>8238</v>
      </c>
      <c r="G70" s="35">
        <v>8381</v>
      </c>
      <c r="H70" s="35">
        <v>8501</v>
      </c>
      <c r="I70" s="35">
        <v>8580</v>
      </c>
      <c r="J70" s="35">
        <v>8655</v>
      </c>
      <c r="K70" s="35">
        <v>8694</v>
      </c>
      <c r="L70" s="39">
        <v>8723</v>
      </c>
    </row>
    <row r="71" spans="1:12" x14ac:dyDescent="0.25">
      <c r="A71" s="19">
        <v>2019</v>
      </c>
      <c r="B71" s="35">
        <v>7869</v>
      </c>
      <c r="C71" s="35">
        <v>8037</v>
      </c>
      <c r="D71" s="35">
        <v>8181</v>
      </c>
      <c r="E71" s="35">
        <v>8296</v>
      </c>
      <c r="F71" s="35">
        <v>8405</v>
      </c>
      <c r="G71" s="35">
        <v>8480</v>
      </c>
      <c r="H71" s="35">
        <v>8540</v>
      </c>
      <c r="I71" s="35">
        <v>8599</v>
      </c>
      <c r="J71" s="35">
        <v>8652</v>
      </c>
      <c r="K71" s="35">
        <v>8689</v>
      </c>
      <c r="L71" s="39">
        <v>8703</v>
      </c>
    </row>
    <row r="72" spans="1:12" x14ac:dyDescent="0.25">
      <c r="A72" s="19">
        <v>2020</v>
      </c>
      <c r="B72" s="35">
        <v>8019</v>
      </c>
      <c r="C72" s="35">
        <v>8177</v>
      </c>
      <c r="D72" s="35">
        <v>8318</v>
      </c>
      <c r="E72" s="35">
        <v>8429</v>
      </c>
      <c r="F72" s="35">
        <v>8521</v>
      </c>
      <c r="G72" s="35">
        <v>8589</v>
      </c>
      <c r="H72" s="35">
        <v>8649</v>
      </c>
      <c r="I72" s="35">
        <v>8696</v>
      </c>
      <c r="J72" s="35">
        <v>8717</v>
      </c>
      <c r="K72" s="35">
        <v>8730</v>
      </c>
      <c r="L72" s="39">
        <v>8747</v>
      </c>
    </row>
    <row r="73" spans="1:12" x14ac:dyDescent="0.25">
      <c r="A73" s="19">
        <v>2021</v>
      </c>
      <c r="B73" s="35">
        <v>8146</v>
      </c>
      <c r="C73" s="35">
        <v>8291</v>
      </c>
      <c r="D73" s="35">
        <v>8427</v>
      </c>
      <c r="E73" s="35">
        <v>8544</v>
      </c>
      <c r="F73" s="35">
        <v>8617</v>
      </c>
      <c r="G73" s="35">
        <v>8669</v>
      </c>
      <c r="H73" s="35">
        <v>8704</v>
      </c>
      <c r="I73" s="35">
        <v>8723</v>
      </c>
      <c r="J73" s="35">
        <v>8740</v>
      </c>
      <c r="K73" s="35">
        <v>8746</v>
      </c>
      <c r="L73" s="39">
        <v>8755</v>
      </c>
    </row>
    <row r="74" spans="1:12" x14ac:dyDescent="0.25">
      <c r="A74" s="19">
        <v>2022</v>
      </c>
      <c r="B74" s="35">
        <v>7773</v>
      </c>
      <c r="C74" s="35">
        <v>7942</v>
      </c>
      <c r="D74" s="35">
        <v>8071</v>
      </c>
      <c r="E74" s="35">
        <v>8205</v>
      </c>
      <c r="F74" s="35">
        <v>8317</v>
      </c>
      <c r="G74" s="35">
        <v>8444</v>
      </c>
      <c r="H74" s="35">
        <v>8542</v>
      </c>
      <c r="I74" s="35">
        <v>8593</v>
      </c>
      <c r="J74" s="35">
        <v>8649</v>
      </c>
      <c r="K74" s="35">
        <v>8683</v>
      </c>
      <c r="L74" s="39">
        <v>8703</v>
      </c>
    </row>
    <row r="75" spans="1:12" x14ac:dyDescent="0.25">
      <c r="A75" s="19">
        <v>2023</v>
      </c>
      <c r="B75" s="35">
        <v>7814</v>
      </c>
      <c r="C75" s="35">
        <v>8006</v>
      </c>
      <c r="D75" s="35">
        <v>8178</v>
      </c>
      <c r="E75" s="35">
        <v>8307</v>
      </c>
      <c r="F75" s="35">
        <v>8418</v>
      </c>
      <c r="G75" s="35">
        <v>8505</v>
      </c>
      <c r="H75" s="35">
        <v>8577</v>
      </c>
      <c r="I75" s="35">
        <v>8640</v>
      </c>
      <c r="J75" s="35">
        <v>8677</v>
      </c>
      <c r="K75" s="35">
        <v>8712</v>
      </c>
      <c r="L75" s="39">
        <v>8731</v>
      </c>
    </row>
    <row r="76" spans="1:12" ht="14.4" thickBot="1" x14ac:dyDescent="0.3">
      <c r="A76" s="19">
        <v>2024</v>
      </c>
      <c r="B76" s="35">
        <v>7894</v>
      </c>
      <c r="C76" s="35">
        <v>8059</v>
      </c>
      <c r="D76" s="35">
        <v>8226</v>
      </c>
      <c r="E76" s="35">
        <v>8346</v>
      </c>
      <c r="F76" s="35">
        <v>8437</v>
      </c>
      <c r="G76" s="35">
        <v>8526</v>
      </c>
      <c r="H76" s="35">
        <v>8606</v>
      </c>
      <c r="I76" s="35">
        <v>8674</v>
      </c>
      <c r="J76" s="35">
        <v>8708</v>
      </c>
      <c r="K76" s="35">
        <v>8739</v>
      </c>
      <c r="L76" s="39">
        <v>8763</v>
      </c>
    </row>
    <row r="77" spans="1:12" ht="14.4" thickBot="1" x14ac:dyDescent="0.3">
      <c r="A77" s="22" t="s">
        <v>7</v>
      </c>
      <c r="B77" s="29">
        <v>8038</v>
      </c>
      <c r="C77" s="30">
        <v>8193</v>
      </c>
      <c r="D77" s="30">
        <v>8333</v>
      </c>
      <c r="E77" s="30">
        <v>8439</v>
      </c>
      <c r="F77" s="30">
        <v>8510.5</v>
      </c>
      <c r="G77" s="30">
        <v>8579.5</v>
      </c>
      <c r="H77" s="30">
        <v>8639</v>
      </c>
      <c r="I77" s="30">
        <v>8685</v>
      </c>
      <c r="J77" s="30">
        <v>8711.5</v>
      </c>
      <c r="K77" s="30">
        <v>8736</v>
      </c>
      <c r="L77" s="31">
        <v>8754.5</v>
      </c>
    </row>
    <row r="78" spans="1:12" ht="28.2" thickBot="1" x14ac:dyDescent="0.3">
      <c r="A78" s="21" t="s">
        <v>8</v>
      </c>
      <c r="B78" s="32">
        <v>203.64675298172568</v>
      </c>
      <c r="C78" s="33">
        <v>189.50461735799473</v>
      </c>
      <c r="D78" s="33">
        <v>151.32085117392117</v>
      </c>
      <c r="E78" s="33">
        <v>131.52186130069785</v>
      </c>
      <c r="F78" s="33">
        <v>103.94469683442249</v>
      </c>
      <c r="G78" s="33">
        <v>75.660425586960585</v>
      </c>
      <c r="H78" s="33">
        <v>46.669047558312137</v>
      </c>
      <c r="I78" s="33">
        <v>15.556349186104045</v>
      </c>
      <c r="J78" s="33">
        <v>4.9497474683058327</v>
      </c>
      <c r="K78" s="33">
        <v>4.2426406871192848</v>
      </c>
      <c r="L78" s="34">
        <v>12.020815280171307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5BF2E-899E-472F-86DE-C073EFBCAE94}">
  <sheetPr codeName="Tabelle3"/>
  <dimension ref="A1:N52"/>
  <sheetViews>
    <sheetView topLeftCell="A9" zoomScale="87" workbookViewId="0">
      <selection activeCell="K48" sqref="K48"/>
    </sheetView>
  </sheetViews>
  <sheetFormatPr baseColWidth="10" defaultRowHeight="13.8" x14ac:dyDescent="0.25"/>
  <cols>
    <col min="5" max="5" width="11.19921875" customWidth="1"/>
  </cols>
  <sheetData>
    <row r="1" spans="1:14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2"/>
      <c r="J1" s="12"/>
      <c r="K1" s="12"/>
      <c r="L1" s="12"/>
      <c r="M1" s="12"/>
      <c r="N1" s="13"/>
    </row>
    <row r="2" spans="1:14" x14ac:dyDescent="0.25">
      <c r="A2" s="2" t="s">
        <v>12</v>
      </c>
      <c r="B2" s="3"/>
      <c r="C2" s="3"/>
      <c r="D2" s="3"/>
      <c r="E2" s="3"/>
      <c r="F2" s="3"/>
      <c r="G2" s="3"/>
      <c r="H2" s="3"/>
      <c r="I2" s="13"/>
      <c r="J2" s="13"/>
      <c r="K2" s="13"/>
      <c r="L2" s="13"/>
      <c r="M2" s="13"/>
      <c r="N2" s="13"/>
    </row>
    <row r="3" spans="1:14" x14ac:dyDescent="0.25">
      <c r="I3" s="13"/>
      <c r="J3" s="13"/>
      <c r="K3" s="13"/>
      <c r="L3" s="13"/>
      <c r="M3" s="13"/>
      <c r="N3" s="13"/>
    </row>
    <row r="4" spans="1:14" x14ac:dyDescent="0.25">
      <c r="A4" s="4" t="s">
        <v>13</v>
      </c>
      <c r="B4" s="4"/>
      <c r="C4" s="4"/>
      <c r="D4" s="4"/>
      <c r="E4" s="4"/>
      <c r="F4" s="4"/>
      <c r="G4" s="4"/>
      <c r="H4" s="4"/>
      <c r="I4" s="14"/>
      <c r="J4" s="14"/>
      <c r="K4" s="14"/>
      <c r="L4" s="14"/>
      <c r="M4" s="14"/>
      <c r="N4" s="13"/>
    </row>
    <row r="5" spans="1:14" x14ac:dyDescent="0.25">
      <c r="I5" s="13"/>
      <c r="J5" s="13"/>
      <c r="K5" s="13"/>
      <c r="L5" s="13"/>
      <c r="M5" s="13"/>
      <c r="N5" s="13"/>
    </row>
    <row r="6" spans="1:14" x14ac:dyDescent="0.25">
      <c r="I6" s="13"/>
      <c r="J6" s="13"/>
      <c r="K6" s="13"/>
      <c r="L6" s="13"/>
      <c r="M6" s="13"/>
      <c r="N6" s="13"/>
    </row>
    <row r="7" spans="1:14" x14ac:dyDescent="0.25">
      <c r="I7" s="13"/>
      <c r="J7" s="13"/>
      <c r="K7" s="13"/>
      <c r="L7" s="13"/>
      <c r="M7" s="13"/>
      <c r="N7" s="13"/>
    </row>
    <row r="8" spans="1:14" x14ac:dyDescent="0.25">
      <c r="I8" s="13"/>
      <c r="J8" s="13"/>
      <c r="K8" s="13"/>
      <c r="L8" s="13"/>
      <c r="M8" s="13"/>
      <c r="N8" s="13"/>
    </row>
    <row r="9" spans="1:14" x14ac:dyDescent="0.25">
      <c r="I9" s="13"/>
      <c r="J9" s="13"/>
      <c r="K9" s="13"/>
      <c r="L9" s="13"/>
      <c r="M9" s="13"/>
      <c r="N9" s="13"/>
    </row>
    <row r="10" spans="1:14" x14ac:dyDescent="0.25">
      <c r="I10" s="13"/>
      <c r="J10" s="13"/>
      <c r="K10" s="13"/>
      <c r="L10" s="13"/>
      <c r="M10" s="13"/>
      <c r="N10" s="13"/>
    </row>
    <row r="11" spans="1:14" x14ac:dyDescent="0.25">
      <c r="A11" s="4" t="s">
        <v>16</v>
      </c>
      <c r="B11" s="4"/>
      <c r="C11" s="4"/>
      <c r="D11" s="4"/>
      <c r="E11" s="4"/>
      <c r="F11" s="4"/>
      <c r="G11" s="4"/>
      <c r="H11" s="4"/>
      <c r="I11" s="14"/>
      <c r="J11" s="14"/>
      <c r="K11" s="14"/>
      <c r="L11" s="14"/>
      <c r="M11" s="14"/>
      <c r="N11" s="13"/>
    </row>
    <row r="12" spans="1:14" x14ac:dyDescent="0.25">
      <c r="I12" s="13"/>
      <c r="J12" s="13"/>
      <c r="K12" s="13"/>
      <c r="L12" s="13"/>
      <c r="M12" s="13"/>
      <c r="N12" s="13"/>
    </row>
    <row r="13" spans="1:14" ht="14.4" x14ac:dyDescent="0.3">
      <c r="B13" s="46" t="s">
        <v>23</v>
      </c>
      <c r="C13" s="35">
        <v>1.5</v>
      </c>
      <c r="E13" s="47"/>
      <c r="F13" s="52">
        <f>1/C13</f>
        <v>0.66666666666666663</v>
      </c>
      <c r="I13" s="13"/>
      <c r="J13" s="13"/>
      <c r="K13" s="13"/>
      <c r="L13" s="13"/>
      <c r="M13" s="13"/>
      <c r="N13" s="13"/>
    </row>
    <row r="14" spans="1:14" x14ac:dyDescent="0.25">
      <c r="B14" s="47" t="s">
        <v>24</v>
      </c>
      <c r="C14" s="48">
        <v>0.15</v>
      </c>
      <c r="E14" s="47"/>
      <c r="F14" s="35">
        <v>0.255</v>
      </c>
      <c r="I14" s="13"/>
      <c r="J14" s="13"/>
      <c r="K14" s="13"/>
      <c r="L14" s="13"/>
      <c r="M14" s="13"/>
      <c r="N14" s="13"/>
    </row>
    <row r="15" spans="1:14" x14ac:dyDescent="0.25">
      <c r="B15" s="47" t="s">
        <v>25</v>
      </c>
      <c r="C15" s="48">
        <v>0.05</v>
      </c>
      <c r="I15" s="13"/>
      <c r="J15" s="13"/>
      <c r="K15" s="13"/>
      <c r="L15" s="13"/>
      <c r="M15" s="13"/>
      <c r="N15" s="13"/>
    </row>
    <row r="16" spans="1:14" x14ac:dyDescent="0.25">
      <c r="I16" s="13"/>
      <c r="J16" s="13"/>
      <c r="K16" s="13"/>
      <c r="L16" s="13"/>
      <c r="M16" s="13"/>
      <c r="N16" s="13"/>
    </row>
    <row r="17" spans="1:14" x14ac:dyDescent="0.25">
      <c r="I17" s="13"/>
      <c r="J17" s="13"/>
      <c r="K17" s="13"/>
      <c r="L17" s="13"/>
      <c r="M17" s="13"/>
      <c r="N17" s="13"/>
    </row>
    <row r="18" spans="1:14" x14ac:dyDescent="0.25">
      <c r="A18" s="4" t="s">
        <v>15</v>
      </c>
      <c r="B18" s="4"/>
      <c r="C18" s="4"/>
      <c r="D18" s="4"/>
      <c r="E18" s="4"/>
      <c r="F18" s="4"/>
      <c r="G18" s="4"/>
      <c r="H18" s="4"/>
      <c r="I18" s="14"/>
      <c r="J18" s="14"/>
      <c r="K18" s="14"/>
      <c r="L18" s="14"/>
      <c r="M18" s="14"/>
      <c r="N18" s="13"/>
    </row>
    <row r="19" spans="1:14" x14ac:dyDescent="0.25">
      <c r="I19" s="13"/>
      <c r="J19" s="13"/>
      <c r="K19" s="13"/>
      <c r="L19" s="13"/>
      <c r="M19" s="13"/>
      <c r="N19" s="13"/>
    </row>
    <row r="20" spans="1:14" x14ac:dyDescent="0.25">
      <c r="I20" s="13"/>
      <c r="J20" s="13"/>
      <c r="K20" s="13"/>
      <c r="L20" s="13"/>
      <c r="M20" s="13"/>
      <c r="N20" s="13"/>
    </row>
    <row r="21" spans="1:14" x14ac:dyDescent="0.25">
      <c r="I21" s="13"/>
      <c r="J21" s="13"/>
      <c r="K21" s="13"/>
      <c r="L21" s="13"/>
      <c r="M21" s="13"/>
      <c r="N21" s="13"/>
    </row>
    <row r="22" spans="1:14" x14ac:dyDescent="0.25">
      <c r="I22" s="13"/>
      <c r="J22" s="13"/>
      <c r="K22" s="13"/>
      <c r="L22" s="13"/>
      <c r="M22" s="13"/>
      <c r="N22" s="13"/>
    </row>
    <row r="23" spans="1:14" x14ac:dyDescent="0.25">
      <c r="I23" s="13"/>
      <c r="J23" s="13"/>
      <c r="K23" s="13"/>
      <c r="L23" s="13"/>
      <c r="M23" s="13"/>
      <c r="N23" s="13"/>
    </row>
    <row r="24" spans="1:14" x14ac:dyDescent="0.25">
      <c r="I24" s="13"/>
      <c r="J24" s="13"/>
      <c r="K24" s="13"/>
      <c r="L24" s="13"/>
      <c r="M24" s="13"/>
      <c r="N24" s="13"/>
    </row>
    <row r="25" spans="1:14" x14ac:dyDescent="0.25">
      <c r="I25" s="13"/>
      <c r="J25" s="13"/>
      <c r="K25" s="13"/>
      <c r="L25" s="13"/>
      <c r="M25" s="13"/>
      <c r="N25" s="13"/>
    </row>
    <row r="26" spans="1:14" x14ac:dyDescent="0.25">
      <c r="I26" s="13"/>
      <c r="J26" s="13"/>
      <c r="K26" s="13"/>
      <c r="L26" s="13"/>
      <c r="M26" s="13"/>
      <c r="N26" s="13"/>
    </row>
    <row r="27" spans="1:14" x14ac:dyDescent="0.25">
      <c r="I27" s="13"/>
      <c r="J27" s="13"/>
      <c r="K27" s="13"/>
      <c r="L27" s="13"/>
      <c r="M27" s="13"/>
      <c r="N27" s="13"/>
    </row>
    <row r="28" spans="1:14" x14ac:dyDescent="0.25">
      <c r="I28" s="13"/>
      <c r="J28" s="13"/>
      <c r="K28" s="13"/>
      <c r="L28" s="13"/>
      <c r="M28" s="13"/>
      <c r="N28" s="13"/>
    </row>
    <row r="29" spans="1:14" x14ac:dyDescent="0.25">
      <c r="I29" s="13"/>
      <c r="J29" s="13"/>
      <c r="K29" s="13"/>
      <c r="L29" s="13"/>
      <c r="M29" s="13"/>
      <c r="N29" s="13"/>
    </row>
    <row r="30" spans="1:14" x14ac:dyDescent="0.25">
      <c r="I30" s="13"/>
      <c r="J30" s="13"/>
      <c r="K30" s="13"/>
      <c r="L30" s="13"/>
      <c r="M30" s="13"/>
      <c r="N30" s="13"/>
    </row>
    <row r="31" spans="1:14" x14ac:dyDescent="0.25">
      <c r="I31" s="13"/>
      <c r="J31" s="13"/>
      <c r="K31" s="13"/>
      <c r="L31" s="13"/>
      <c r="M31" s="13"/>
      <c r="N31" s="13"/>
    </row>
    <row r="32" spans="1:14" x14ac:dyDescent="0.25">
      <c r="I32" s="13"/>
      <c r="J32" s="13"/>
      <c r="K32" s="13"/>
      <c r="L32" s="13"/>
      <c r="M32" s="13"/>
      <c r="N32" s="13"/>
    </row>
    <row r="33" spans="1:14" x14ac:dyDescent="0.25">
      <c r="I33" s="13"/>
      <c r="J33" s="13"/>
      <c r="K33" s="13"/>
      <c r="L33" s="13"/>
      <c r="M33" s="13"/>
      <c r="N33" s="13"/>
    </row>
    <row r="34" spans="1:14" x14ac:dyDescent="0.25">
      <c r="I34" s="13"/>
      <c r="J34" s="13"/>
      <c r="K34" s="13"/>
      <c r="L34" s="13"/>
      <c r="M34" s="13"/>
      <c r="N34" s="13"/>
    </row>
    <row r="35" spans="1:14" x14ac:dyDescent="0.25">
      <c r="I35" s="13"/>
      <c r="J35" s="13"/>
      <c r="K35" s="13"/>
      <c r="L35" s="13"/>
      <c r="M35" s="13"/>
      <c r="N35" s="13"/>
    </row>
    <row r="36" spans="1:14" x14ac:dyDescent="0.25">
      <c r="I36" s="13"/>
      <c r="J36" s="13"/>
      <c r="K36" s="13"/>
      <c r="L36" s="13"/>
      <c r="M36" s="13"/>
      <c r="N36" s="13"/>
    </row>
    <row r="37" spans="1:14" x14ac:dyDescent="0.25">
      <c r="I37" s="13"/>
      <c r="J37" s="13"/>
      <c r="K37" s="13"/>
      <c r="L37" s="13"/>
      <c r="M37" s="13"/>
      <c r="N37" s="13"/>
    </row>
    <row r="38" spans="1:14" x14ac:dyDescent="0.25">
      <c r="I38" s="13"/>
      <c r="J38" s="13"/>
      <c r="K38" s="13"/>
      <c r="L38" s="13"/>
      <c r="M38" s="13"/>
      <c r="N38" s="13"/>
    </row>
    <row r="39" spans="1:14" x14ac:dyDescent="0.25">
      <c r="A39" s="4" t="s">
        <v>14</v>
      </c>
      <c r="B39" s="4"/>
      <c r="C39" s="4"/>
      <c r="D39" s="4"/>
      <c r="E39" s="4"/>
      <c r="F39" s="4"/>
      <c r="G39" s="4"/>
      <c r="H39" s="4"/>
      <c r="I39" s="14"/>
      <c r="J39" s="14"/>
      <c r="K39" s="14"/>
      <c r="L39" s="14"/>
      <c r="M39" s="14"/>
      <c r="N39" s="13"/>
    </row>
    <row r="40" spans="1:14" ht="14.4" thickBot="1" x14ac:dyDescent="0.3">
      <c r="I40" s="13"/>
      <c r="J40" s="13"/>
      <c r="K40" s="13"/>
      <c r="L40" s="13"/>
      <c r="M40" s="13"/>
      <c r="N40" s="13"/>
    </row>
    <row r="41" spans="1:14" ht="28.2" thickBot="1" x14ac:dyDescent="0.3">
      <c r="A41" s="40" t="s">
        <v>17</v>
      </c>
      <c r="B41" s="40" t="s">
        <v>21</v>
      </c>
      <c r="C41" s="40" t="s">
        <v>22</v>
      </c>
      <c r="D41" s="40" t="s">
        <v>28</v>
      </c>
      <c r="E41" s="51" t="s">
        <v>29</v>
      </c>
      <c r="F41" s="50" t="s">
        <v>26</v>
      </c>
      <c r="G41" s="50" t="s">
        <v>27</v>
      </c>
      <c r="I41" s="13"/>
      <c r="J41" s="13"/>
      <c r="K41" s="13"/>
      <c r="L41" s="13"/>
      <c r="M41" s="13"/>
      <c r="N41" s="13"/>
    </row>
    <row r="42" spans="1:14" x14ac:dyDescent="0.25">
      <c r="A42" s="41">
        <v>22</v>
      </c>
      <c r="B42" s="43">
        <v>734</v>
      </c>
      <c r="C42" s="35">
        <v>8038</v>
      </c>
      <c r="D42" s="49">
        <v>0.22112403100775194</v>
      </c>
      <c r="E42" s="49">
        <v>1.2020799418604651</v>
      </c>
      <c r="F42" s="49">
        <v>1.2196046511627907</v>
      </c>
      <c r="G42" s="49">
        <v>1.1845552325581394</v>
      </c>
      <c r="H42" s="45">
        <f>$C$13</f>
        <v>1.5</v>
      </c>
      <c r="I42" s="13"/>
      <c r="J42" s="13"/>
      <c r="K42" s="13"/>
      <c r="L42" s="13"/>
      <c r="M42" s="13"/>
      <c r="N42" s="13"/>
    </row>
    <row r="43" spans="1:14" x14ac:dyDescent="0.25">
      <c r="A43" s="42">
        <v>23</v>
      </c>
      <c r="B43" s="43">
        <v>579</v>
      </c>
      <c r="C43" s="35">
        <v>8193</v>
      </c>
      <c r="D43" s="49">
        <v>0.2061046511627907</v>
      </c>
      <c r="E43" s="49">
        <v>1.1963350290697674</v>
      </c>
      <c r="F43" s="49">
        <v>1.2141976744186047</v>
      </c>
      <c r="G43" s="49">
        <v>1.1784723837209303</v>
      </c>
      <c r="H43" s="45">
        <f t="shared" ref="H43:H52" si="0">$C$13</f>
        <v>1.5</v>
      </c>
      <c r="I43" s="13"/>
      <c r="J43" s="13"/>
      <c r="K43" s="13"/>
      <c r="L43" s="13"/>
      <c r="M43" s="13"/>
      <c r="N43" s="13"/>
    </row>
    <row r="44" spans="1:14" x14ac:dyDescent="0.25">
      <c r="A44" s="42">
        <v>24</v>
      </c>
      <c r="B44" s="43">
        <v>439</v>
      </c>
      <c r="C44" s="35">
        <v>8333</v>
      </c>
      <c r="D44" s="49">
        <v>0.19253875968992248</v>
      </c>
      <c r="E44" s="49">
        <v>1.1911460755813954</v>
      </c>
      <c r="F44" s="49">
        <v>1.2093139534883721</v>
      </c>
      <c r="G44" s="49">
        <v>1.1729781976744187</v>
      </c>
      <c r="H44" s="45">
        <f t="shared" si="0"/>
        <v>1.5</v>
      </c>
      <c r="I44" s="13"/>
      <c r="J44" s="13"/>
      <c r="K44" s="13"/>
      <c r="L44" s="13"/>
      <c r="M44" s="13"/>
      <c r="N44" s="13"/>
    </row>
    <row r="45" spans="1:14" x14ac:dyDescent="0.25">
      <c r="A45" s="42">
        <v>25</v>
      </c>
      <c r="B45" s="43">
        <v>333</v>
      </c>
      <c r="C45" s="35">
        <v>8439</v>
      </c>
      <c r="D45" s="49">
        <v>0.18226744186046512</v>
      </c>
      <c r="E45" s="49">
        <v>1.1872172965116279</v>
      </c>
      <c r="F45" s="49">
        <v>1.2056162790697675</v>
      </c>
      <c r="G45" s="49">
        <v>1.1688183139534885</v>
      </c>
      <c r="H45" s="45">
        <f t="shared" si="0"/>
        <v>1.5</v>
      </c>
      <c r="I45" s="13"/>
      <c r="J45" s="13"/>
      <c r="K45" s="13"/>
      <c r="L45" s="13"/>
      <c r="M45" s="13"/>
      <c r="N45" s="13"/>
    </row>
    <row r="46" spans="1:14" x14ac:dyDescent="0.25">
      <c r="A46" s="42">
        <v>26</v>
      </c>
      <c r="B46" s="43">
        <v>261.5</v>
      </c>
      <c r="C46" s="35">
        <v>8510.5</v>
      </c>
      <c r="D46" s="49">
        <v>0.17533914728682171</v>
      </c>
      <c r="E46" s="49">
        <v>1.1845672238372094</v>
      </c>
      <c r="F46" s="49">
        <v>1.2031220930232558</v>
      </c>
      <c r="G46" s="49">
        <v>1.1660123546511627</v>
      </c>
      <c r="H46" s="45">
        <f t="shared" si="0"/>
        <v>1.5</v>
      </c>
      <c r="I46" s="13"/>
      <c r="J46" s="13"/>
      <c r="K46" s="13"/>
      <c r="L46" s="13"/>
      <c r="M46" s="13"/>
      <c r="N46" s="13"/>
    </row>
    <row r="47" spans="1:14" x14ac:dyDescent="0.25">
      <c r="A47" s="42">
        <v>27</v>
      </c>
      <c r="B47" s="43">
        <v>192.5</v>
      </c>
      <c r="C47" s="35">
        <v>8579.5</v>
      </c>
      <c r="D47" s="49">
        <v>0.1686531007751938</v>
      </c>
      <c r="E47" s="49">
        <v>1.1820098110465116</v>
      </c>
      <c r="F47" s="49">
        <v>1.2007151162790697</v>
      </c>
      <c r="G47" s="49">
        <v>1.1633045058139535</v>
      </c>
      <c r="H47" s="45">
        <f t="shared" si="0"/>
        <v>1.5</v>
      </c>
      <c r="I47" s="13"/>
      <c r="J47" s="13"/>
      <c r="K47" s="13"/>
      <c r="L47" s="13"/>
      <c r="M47" s="13"/>
      <c r="N47" s="13"/>
    </row>
    <row r="48" spans="1:14" x14ac:dyDescent="0.25">
      <c r="A48" s="42">
        <v>28</v>
      </c>
      <c r="B48" s="43">
        <v>133</v>
      </c>
      <c r="C48" s="35">
        <v>8639</v>
      </c>
      <c r="D48" s="49">
        <v>0.1628875968992248</v>
      </c>
      <c r="E48" s="49">
        <v>1.1798045058139535</v>
      </c>
      <c r="F48" s="49">
        <v>1.1986395348837209</v>
      </c>
      <c r="G48" s="49">
        <v>1.160969476744186</v>
      </c>
      <c r="H48" s="45">
        <f t="shared" si="0"/>
        <v>1.5</v>
      </c>
      <c r="I48" s="13"/>
      <c r="J48" s="13"/>
      <c r="K48" s="13"/>
      <c r="L48" s="13"/>
      <c r="M48" s="13"/>
      <c r="N48" s="13"/>
    </row>
    <row r="49" spans="1:14" x14ac:dyDescent="0.25">
      <c r="A49" s="42">
        <v>29</v>
      </c>
      <c r="B49" s="43">
        <v>87</v>
      </c>
      <c r="C49" s="35">
        <v>8685</v>
      </c>
      <c r="D49" s="49">
        <v>0.15843023255813954</v>
      </c>
      <c r="E49" s="49">
        <v>1.1780995639534884</v>
      </c>
      <c r="F49" s="49">
        <v>1.1970348837209301</v>
      </c>
      <c r="G49" s="49">
        <v>1.1591642441860466</v>
      </c>
      <c r="H49" s="45">
        <f t="shared" si="0"/>
        <v>1.5</v>
      </c>
      <c r="I49" s="13"/>
      <c r="J49" s="13"/>
      <c r="K49" s="13"/>
      <c r="L49" s="13"/>
      <c r="M49" s="13"/>
      <c r="N49" s="13"/>
    </row>
    <row r="50" spans="1:14" x14ac:dyDescent="0.25">
      <c r="A50" s="42">
        <v>30</v>
      </c>
      <c r="B50" s="43">
        <v>60.5</v>
      </c>
      <c r="C50" s="35">
        <v>8711.5</v>
      </c>
      <c r="D50" s="49">
        <v>0.15586240310077518</v>
      </c>
      <c r="E50" s="49">
        <v>1.1771173691860466</v>
      </c>
      <c r="F50" s="49">
        <v>1.1961104651162791</v>
      </c>
      <c r="G50" s="49">
        <v>1.1581242732558139</v>
      </c>
      <c r="H50" s="45">
        <f t="shared" si="0"/>
        <v>1.5</v>
      </c>
      <c r="I50" s="13"/>
      <c r="J50" s="13"/>
      <c r="K50" s="13"/>
      <c r="L50" s="13"/>
      <c r="M50" s="13"/>
      <c r="N50" s="13"/>
    </row>
    <row r="51" spans="1:14" x14ac:dyDescent="0.25">
      <c r="A51" s="42">
        <v>31</v>
      </c>
      <c r="B51" s="43">
        <v>36</v>
      </c>
      <c r="C51" s="35">
        <v>8736</v>
      </c>
      <c r="D51" s="49">
        <v>0.15348837209302324</v>
      </c>
      <c r="E51" s="49">
        <v>1.1762093023255815</v>
      </c>
      <c r="F51" s="49">
        <v>1.1952558139534883</v>
      </c>
      <c r="G51" s="49">
        <v>1.1571627906976745</v>
      </c>
      <c r="H51" s="45">
        <f t="shared" si="0"/>
        <v>1.5</v>
      </c>
      <c r="I51" s="13"/>
      <c r="J51" s="13"/>
      <c r="K51" s="13"/>
      <c r="L51" s="13"/>
      <c r="M51" s="13"/>
      <c r="N51" s="13"/>
    </row>
    <row r="52" spans="1:14" ht="14.4" thickBot="1" x14ac:dyDescent="0.3">
      <c r="A52" s="44">
        <v>32</v>
      </c>
      <c r="B52" s="43">
        <v>17.5</v>
      </c>
      <c r="C52" s="35">
        <v>8754.5</v>
      </c>
      <c r="D52" s="49">
        <v>0.15169573643410852</v>
      </c>
      <c r="E52" s="49">
        <v>1.1755236191860465</v>
      </c>
      <c r="F52" s="49">
        <v>1.194610465116279</v>
      </c>
      <c r="G52" s="49">
        <v>1.1564367732558138</v>
      </c>
      <c r="H52" s="45">
        <f t="shared" si="0"/>
        <v>1.5</v>
      </c>
      <c r="I52" s="13"/>
      <c r="J52" s="13"/>
      <c r="K52" s="13"/>
      <c r="L52" s="13"/>
      <c r="M52" s="13"/>
      <c r="N52" s="13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BFC6-0FB3-46E8-B580-2026E52DE8E2}">
  <sheetPr codeName="Tabelle4"/>
  <dimension ref="A1:L13"/>
  <sheetViews>
    <sheetView workbookViewId="0">
      <selection activeCell="G26" sqref="G26"/>
    </sheetView>
  </sheetViews>
  <sheetFormatPr baseColWidth="10" defaultRowHeight="13.8" x14ac:dyDescent="0.25"/>
  <sheetData>
    <row r="1" spans="1:12" ht="14.4" thickBot="1" x14ac:dyDescent="0.3">
      <c r="A1" s="15"/>
      <c r="B1" s="16">
        <v>22</v>
      </c>
      <c r="C1" s="17">
        <v>23</v>
      </c>
      <c r="D1" s="17">
        <v>24</v>
      </c>
      <c r="E1" s="17">
        <v>25</v>
      </c>
      <c r="F1" s="17">
        <v>26</v>
      </c>
      <c r="G1" s="17">
        <v>27</v>
      </c>
      <c r="H1" s="17">
        <v>28</v>
      </c>
      <c r="I1" s="17">
        <v>29</v>
      </c>
      <c r="J1" s="17">
        <v>30</v>
      </c>
      <c r="K1" s="17">
        <v>31</v>
      </c>
      <c r="L1" s="18">
        <v>32</v>
      </c>
    </row>
    <row r="2" spans="1:12" x14ac:dyDescent="0.25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38"/>
    </row>
    <row r="3" spans="1:12" x14ac:dyDescent="0.25">
      <c r="A3" s="19"/>
      <c r="B3" s="20"/>
      <c r="C3" s="20"/>
      <c r="D3" s="20"/>
      <c r="E3" s="20"/>
      <c r="F3" s="20"/>
      <c r="G3" s="20"/>
      <c r="H3" s="20"/>
      <c r="I3" s="20"/>
      <c r="J3" s="20"/>
      <c r="K3" s="20"/>
      <c r="L3" s="38"/>
    </row>
    <row r="4" spans="1:12" ht="14.4" thickBot="1" x14ac:dyDescent="0.3">
      <c r="A4" s="19"/>
      <c r="B4" s="20"/>
      <c r="C4" s="20"/>
      <c r="D4" s="20"/>
      <c r="E4" s="20"/>
      <c r="F4" s="20"/>
      <c r="G4" s="20"/>
      <c r="H4" s="20"/>
      <c r="I4" s="20"/>
      <c r="J4" s="20"/>
      <c r="K4" s="20"/>
      <c r="L4" s="38"/>
    </row>
    <row r="5" spans="1:12" ht="14.4" thickBot="1" x14ac:dyDescent="0.3">
      <c r="A5" s="22" t="s">
        <v>7</v>
      </c>
      <c r="B5" s="23"/>
      <c r="C5" s="24"/>
      <c r="D5" s="24"/>
      <c r="E5" s="24"/>
      <c r="F5" s="24"/>
      <c r="G5" s="24"/>
      <c r="H5" s="24"/>
      <c r="I5" s="24"/>
      <c r="J5" s="24"/>
      <c r="K5" s="24"/>
      <c r="L5" s="25"/>
    </row>
    <row r="6" spans="1:12" ht="28.2" thickBot="1" x14ac:dyDescent="0.3">
      <c r="A6" s="21" t="s">
        <v>8</v>
      </c>
      <c r="B6" s="26"/>
      <c r="C6" s="27"/>
      <c r="D6" s="27"/>
      <c r="E6" s="27"/>
      <c r="F6" s="27"/>
      <c r="G6" s="27"/>
      <c r="H6" s="27"/>
      <c r="I6" s="27"/>
      <c r="J6" s="27"/>
      <c r="K6" s="27"/>
      <c r="L6" s="28"/>
    </row>
    <row r="7" spans="1:12" s="13" customFormat="1" ht="14.4" thickBot="1" x14ac:dyDescent="0.3">
      <c r="A7" s="36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</row>
    <row r="8" spans="1:12" ht="14.4" thickBot="1" x14ac:dyDescent="0.3">
      <c r="A8" s="15"/>
      <c r="B8" s="16">
        <v>22</v>
      </c>
      <c r="C8" s="17">
        <v>23</v>
      </c>
      <c r="D8" s="17">
        <v>24</v>
      </c>
      <c r="E8" s="17">
        <v>25</v>
      </c>
      <c r="F8" s="17">
        <v>26</v>
      </c>
      <c r="G8" s="17">
        <v>27</v>
      </c>
      <c r="H8" s="17">
        <v>28</v>
      </c>
      <c r="I8" s="17">
        <v>29</v>
      </c>
      <c r="J8" s="17">
        <v>30</v>
      </c>
      <c r="K8" s="17">
        <v>31</v>
      </c>
      <c r="L8" s="18">
        <v>32</v>
      </c>
    </row>
    <row r="9" spans="1:12" x14ac:dyDescent="0.25">
      <c r="A9" s="19"/>
      <c r="B9" s="35"/>
      <c r="C9" s="35"/>
      <c r="D9" s="35"/>
      <c r="E9" s="35"/>
      <c r="F9" s="35"/>
      <c r="G9" s="35"/>
      <c r="H9" s="35"/>
      <c r="I9" s="35"/>
      <c r="J9" s="35"/>
      <c r="K9" s="35"/>
      <c r="L9" s="39"/>
    </row>
    <row r="10" spans="1:12" x14ac:dyDescent="0.25">
      <c r="A10" s="19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9"/>
    </row>
    <row r="11" spans="1:12" ht="14.4" thickBot="1" x14ac:dyDescent="0.3">
      <c r="A11" s="19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9"/>
    </row>
    <row r="12" spans="1:12" ht="14.4" thickBot="1" x14ac:dyDescent="0.3">
      <c r="A12" s="22" t="s">
        <v>7</v>
      </c>
      <c r="B12" s="29"/>
      <c r="C12" s="30"/>
      <c r="D12" s="30"/>
      <c r="E12" s="30"/>
      <c r="F12" s="30"/>
      <c r="G12" s="30"/>
      <c r="H12" s="30"/>
      <c r="I12" s="30"/>
      <c r="J12" s="30"/>
      <c r="K12" s="30"/>
      <c r="L12" s="31"/>
    </row>
    <row r="13" spans="1:12" ht="28.2" thickBot="1" x14ac:dyDescent="0.3">
      <c r="A13" s="21" t="s">
        <v>8</v>
      </c>
      <c r="B13" s="32"/>
      <c r="C13" s="33"/>
      <c r="D13" s="33"/>
      <c r="E13" s="33"/>
      <c r="F13" s="33"/>
      <c r="G13" s="33"/>
      <c r="H13" s="33"/>
      <c r="I13" s="33"/>
      <c r="J13" s="33"/>
      <c r="K13" s="33"/>
      <c r="L13" s="34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Programm</vt:lpstr>
      <vt:lpstr>Auswertung_Zeit</vt:lpstr>
      <vt:lpstr>Auswertung_PUE</vt:lpstr>
      <vt:lpstr>Format-Vorlage-Tabellen</vt:lpstr>
    </vt:vector>
  </TitlesOfParts>
  <Company>Bayerisches Landesamt für Steuern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Eisenhut, Katharina (LfSt)</dc:creator>
  <cp:lastModifiedBy>Eisenhut, Katharina (LfSt)</cp:lastModifiedBy>
  <dcterms:created xsi:type="dcterms:W3CDTF">2026-06-17T06:54:17Z</dcterms:created>
  <dcterms:modified xsi:type="dcterms:W3CDTF">2026-06-20T15:29:34Z</dcterms:modified>
</cp:coreProperties>
</file>