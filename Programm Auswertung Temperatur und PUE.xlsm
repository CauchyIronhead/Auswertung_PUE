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kmeis\Documents\Hof\1. Semester\Moderne Entwicklungen und E-Government\Auswertung_PUE-main\"/>
    </mc:Choice>
  </mc:AlternateContent>
  <xr:revisionPtr revIDLastSave="0" documentId="13_ncr:1_{9B82ECDD-711F-45E0-82D4-EBB366FC0ADB}" xr6:coauthVersionLast="47" xr6:coauthVersionMax="47" xr10:uidLastSave="{00000000-0000-0000-0000-000000000000}"/>
  <bookViews>
    <workbookView xWindow="20940" yWindow="-20610" windowWidth="20640" windowHeight="17715" activeTab="2" xr2:uid="{5A78BC19-4C9A-4458-A5A9-4969DA293CDA}"/>
  </bookViews>
  <sheets>
    <sheet name="Programm" sheetId="1" r:id="rId1"/>
    <sheet name="Auswertung_Zeit" sheetId="2" r:id="rId2"/>
    <sheet name="Auswertung_PUE" sheetId="3" r:id="rId3"/>
    <sheet name="Format-Vorlage-Tabellen" sheetId="4" state="hidden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3" l="1"/>
  <c r="H43" i="3"/>
  <c r="H44" i="3"/>
  <c r="H45" i="3"/>
  <c r="H46" i="3"/>
  <c r="H47" i="3"/>
  <c r="H48" i="3"/>
  <c r="H49" i="3"/>
  <c r="H50" i="3"/>
  <c r="H51" i="3"/>
  <c r="H52" i="3"/>
  <c r="H42" i="3"/>
</calcChain>
</file>

<file path=xl/sharedStrings.xml><?xml version="1.0" encoding="utf-8"?>
<sst xmlns="http://schemas.openxmlformats.org/spreadsheetml/2006/main" count="43" uniqueCount="33">
  <si>
    <t>Datengrundlage auswählen</t>
  </si>
  <si>
    <t xml:space="preserve">Von </t>
  </si>
  <si>
    <t>Bis</t>
  </si>
  <si>
    <t>*</t>
  </si>
  <si>
    <t>Diagramme</t>
  </si>
  <si>
    <t>Tabellen</t>
  </si>
  <si>
    <t>Durchschnitt</t>
  </si>
  <si>
    <t>Standardabweichung</t>
  </si>
  <si>
    <t>Stunden im Jahr über der Zieltemperatur</t>
  </si>
  <si>
    <t>Stunden im Jahr unter der Zieltemperatur</t>
  </si>
  <si>
    <t>Auswertung der Zeit</t>
  </si>
  <si>
    <t>Auswertung des PUE</t>
  </si>
  <si>
    <t xml:space="preserve">Formel </t>
  </si>
  <si>
    <t>Tabelle</t>
  </si>
  <si>
    <t>Diagramm</t>
  </si>
  <si>
    <t>Einstellungen der Voraussetzungen</t>
  </si>
  <si>
    <t>Temp</t>
  </si>
  <si>
    <t>Bitte den Zeitraum für die Datenauswertung auswählen!</t>
  </si>
  <si>
    <t>Bitte die betreffende Datei des Wetterdiensts auswählen!</t>
  </si>
  <si>
    <t>Prozentuale Auswertung der Stunden im Jahr über der Zieltemperatur</t>
  </si>
  <si>
    <t>x &gt; Temp</t>
  </si>
  <si>
    <t>x &lt; Temp</t>
  </si>
  <si>
    <t>𝑃𝑈𝐸</t>
  </si>
  <si>
    <t>𝜀</t>
  </si>
  <si>
    <t>∆𝜀</t>
  </si>
  <si>
    <t>+ ∆𝜀</t>
  </si>
  <si>
    <t xml:space="preserve"> - ∆𝜀</t>
  </si>
  <si>
    <t>𝝀</t>
  </si>
  <si>
    <t xml:space="preserve">Bitte auf die verfügbaren Jahre der Datengrundlage achten! </t>
  </si>
  <si>
    <t>Programm Auswertung Temperatur und PUE</t>
  </si>
  <si>
    <t>widetilde
{PUE}</t>
  </si>
  <si>
    <t>Mean</t>
  </si>
  <si>
    <t>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</si>
</sst>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.#0\°"/>
    <numFmt numFmtId="165" formatCode="0.0000"/>
    <numFmt numFmtId="166" formatCode="0.000"/>
  </numFmts>
  <fonts count="10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4"/>
      <color theme="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6"/>
      <color theme="1"/>
      <name val="Arial"/>
      <family val="2"/>
    </font>
    <font>
      <i/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5" fillId="2" borderId="0" xfId="0" applyFont="1" applyFill="1"/>
    <xf numFmtId="0" fontId="2" fillId="3" borderId="0" xfId="0" applyFont="1" applyFill="1"/>
    <xf numFmtId="0" fontId="0" fillId="3" borderId="0" xfId="0" applyFill="1"/>
    <xf numFmtId="0" fontId="2" fillId="4" borderId="0" xfId="0" applyFont="1" applyFill="1"/>
    <xf numFmtId="0" fontId="2" fillId="0" borderId="0" xfId="0" applyFont="1"/>
    <xf numFmtId="0" fontId="6" fillId="0" borderId="0" xfId="0" applyFont="1"/>
    <xf numFmtId="0" fontId="7" fillId="0" borderId="0" xfId="0" applyFont="1"/>
    <xf numFmtId="0" fontId="3" fillId="0" borderId="0" xfId="0" applyFont="1"/>
    <xf numFmtId="0" fontId="8" fillId="0" borderId="0" xfId="0" applyFont="1" applyAlignment="1">
      <alignment vertical="center"/>
    </xf>
    <xf numFmtId="0" fontId="5" fillId="0" borderId="0" xfId="0" applyFont="1"/>
    <xf numFmtId="0" fontId="0" fillId="5" borderId="1" xfId="0" applyFill="1" applyBorder="1" applyAlignment="1">
      <alignment horizontal="center" vertical="center"/>
    </xf>
    <xf numFmtId="164" fontId="3" fillId="5" borderId="2" xfId="0" applyNumberFormat="1" applyFont="1" applyFill="1" applyBorder="1" applyAlignment="1">
      <alignment horizontal="center"/>
    </xf>
    <xf numFmtId="164" fontId="3" fillId="5" borderId="3" xfId="0" applyNumberFormat="1" applyFont="1" applyFill="1" applyBorder="1" applyAlignment="1">
      <alignment horizontal="center"/>
    </xf>
    <xf numFmtId="164" fontId="3" fillId="5" borderId="4" xfId="0" applyNumberFormat="1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 vertical="center"/>
    </xf>
    <xf numFmtId="10" fontId="0" fillId="0" borderId="6" xfId="0" applyNumberFormat="1" applyBorder="1"/>
    <xf numFmtId="0" fontId="3" fillId="7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/>
    </xf>
    <xf numFmtId="10" fontId="3" fillId="8" borderId="2" xfId="1" applyNumberFormat="1" applyFont="1" applyFill="1" applyBorder="1"/>
    <xf numFmtId="10" fontId="3" fillId="8" borderId="3" xfId="1" applyNumberFormat="1" applyFont="1" applyFill="1" applyBorder="1"/>
    <xf numFmtId="10" fontId="3" fillId="8" borderId="4" xfId="1" applyNumberFormat="1" applyFont="1" applyFill="1" applyBorder="1"/>
    <xf numFmtId="10" fontId="1" fillId="7" borderId="2" xfId="1" applyNumberFormat="1" applyFont="1" applyFill="1" applyBorder="1"/>
    <xf numFmtId="10" fontId="1" fillId="7" borderId="3" xfId="1" applyNumberFormat="1" applyFont="1" applyFill="1" applyBorder="1"/>
    <xf numFmtId="10" fontId="1" fillId="7" borderId="4" xfId="1" applyNumberFormat="1" applyFont="1" applyFill="1" applyBorder="1"/>
    <xf numFmtId="0" fontId="3" fillId="8" borderId="2" xfId="1" applyNumberFormat="1" applyFont="1" applyFill="1" applyBorder="1"/>
    <xf numFmtId="0" fontId="3" fillId="8" borderId="3" xfId="1" applyNumberFormat="1" applyFont="1" applyFill="1" applyBorder="1"/>
    <xf numFmtId="0" fontId="3" fillId="8" borderId="4" xfId="1" applyNumberFormat="1" applyFont="1" applyFill="1" applyBorder="1"/>
    <xf numFmtId="0" fontId="1" fillId="7" borderId="2" xfId="1" applyNumberFormat="1" applyFont="1" applyFill="1" applyBorder="1"/>
    <xf numFmtId="0" fontId="1" fillId="7" borderId="3" xfId="1" applyNumberFormat="1" applyFont="1" applyFill="1" applyBorder="1"/>
    <xf numFmtId="0" fontId="1" fillId="7" borderId="4" xfId="1" applyNumberFormat="1" applyFont="1" applyFill="1" applyBorder="1"/>
    <xf numFmtId="0" fontId="0" fillId="0" borderId="6" xfId="0" applyBorder="1"/>
    <xf numFmtId="0" fontId="3" fillId="0" borderId="0" xfId="0" applyFont="1" applyAlignment="1">
      <alignment horizontal="center" vertical="center" wrapText="1"/>
    </xf>
    <xf numFmtId="10" fontId="1" fillId="0" borderId="0" xfId="1" applyNumberFormat="1" applyFont="1" applyFill="1" applyBorder="1"/>
    <xf numFmtId="10" fontId="0" fillId="0" borderId="7" xfId="0" applyNumberFormat="1" applyBorder="1"/>
    <xf numFmtId="0" fontId="0" fillId="0" borderId="7" xfId="0" applyBorder="1"/>
    <xf numFmtId="0" fontId="3" fillId="5" borderId="1" xfId="0" applyFont="1" applyFill="1" applyBorder="1" applyAlignment="1">
      <alignment horizontal="center" vertical="center"/>
    </xf>
    <xf numFmtId="164" fontId="3" fillId="6" borderId="8" xfId="0" applyNumberFormat="1" applyFont="1" applyFill="1" applyBorder="1" applyAlignment="1">
      <alignment horizontal="center"/>
    </xf>
    <xf numFmtId="164" fontId="3" fillId="6" borderId="5" xfId="0" applyNumberFormat="1" applyFont="1" applyFill="1" applyBorder="1" applyAlignment="1">
      <alignment horizontal="center"/>
    </xf>
    <xf numFmtId="0" fontId="0" fillId="0" borderId="9" xfId="0" applyBorder="1"/>
    <xf numFmtId="164" fontId="3" fillId="6" borderId="10" xfId="0" applyNumberFormat="1" applyFont="1" applyFill="1" applyBorder="1" applyAlignment="1">
      <alignment horizontal="center"/>
    </xf>
    <xf numFmtId="0" fontId="4" fillId="0" borderId="0" xfId="0" applyFont="1"/>
    <xf numFmtId="0" fontId="9" fillId="6" borderId="6" xfId="0" applyFont="1" applyFill="1" applyBorder="1"/>
    <xf numFmtId="0" fontId="0" fillId="6" borderId="6" xfId="0" applyFill="1" applyBorder="1"/>
    <xf numFmtId="0" fontId="0" fillId="0" borderId="6" xfId="1" applyNumberFormat="1" applyFont="1" applyBorder="1"/>
    <xf numFmtId="165" fontId="0" fillId="0" borderId="6" xfId="0" applyNumberFormat="1" applyBorder="1"/>
    <xf numFmtId="0" fontId="3" fillId="5" borderId="1" xfId="0" quotePrefix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166" fontId="0" fillId="0" borderId="6" xfId="0" applyNumberFormat="1" applyBorder="1"/>
    <xf numFmtId="0" fontId="8" fillId="0" borderId="0" xfId="0" applyFont="1" applyAlignment="1">
      <alignment horizontal="right" vertical="center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1.1384335154826958E-4</c:v>
                </c:pt>
                <c:pt idx="1">
                  <c:v>3.1963470319634705E-3</c:v>
                </c:pt>
                <c:pt idx="2">
                  <c:v>5.2511415525114159E-3</c:v>
                </c:pt>
              </c:numLit>
            </c:plus>
            <c:minus>
              <c:numLit>
                <c:formatCode>General</c:formatCode>
                <c:ptCount val="3"/>
                <c:pt idx="0">
                  <c:v>1.1384335154826958E-4</c:v>
                </c:pt>
                <c:pt idx="1">
                  <c:v>3.1963470319634705E-3</c:v>
                </c:pt>
                <c:pt idx="2">
                  <c:v>5.2511415525114159E-3</c:v>
                </c:pt>
              </c:numLit>
            </c:minus>
            <c:spPr>
              <a:noFill/>
              <a:ln w="9525" cap="flat" cmpd="sng" algn="ctr">
                <a:solidFill>
                  <a:schemeClr val="dk1">
                    <a:lumMod val="50000"/>
                    <a:lumOff val="50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Auswertung_Zeit!$B$52:$L$52</c:f>
                <c:numCache>
                  <c:formatCode>General</c:formatCode>
                  <c:ptCount val="11"/>
                  <c:pt idx="0">
                    <c:v>2.7772295026110966E-2</c:v>
                  </c:pt>
                  <c:pt idx="1">
                    <c:v>2.4391319979454023E-2</c:v>
                  </c:pt>
                  <c:pt idx="2">
                    <c:v>1.7629369886140007E-2</c:v>
                  </c:pt>
                  <c:pt idx="3">
                    <c:v>1.513388830408367E-2</c:v>
                  </c:pt>
                  <c:pt idx="4">
                    <c:v>1.2477407910281733E-2</c:v>
                  </c:pt>
                  <c:pt idx="5">
                    <c:v>9.9819263282254021E-3</c:v>
                  </c:pt>
                  <c:pt idx="6">
                    <c:v>6.9229489050595524E-3</c:v>
                  </c:pt>
                  <c:pt idx="7">
                    <c:v>5.2324613817310529E-3</c:v>
                  </c:pt>
                  <c:pt idx="8">
                    <c:v>4.8299643523671285E-3</c:v>
                  </c:pt>
                  <c:pt idx="9">
                    <c:v>3.5419738584025607E-3</c:v>
                  </c:pt>
                  <c:pt idx="10">
                    <c:v>1.6904875233284948E-3</c:v>
                  </c:pt>
                </c:numCache>
              </c:numRef>
            </c:plus>
            <c:minus>
              <c:numRef>
                <c:f>Auswertung_Zeit!$B$52:$L$52</c:f>
                <c:numCache>
                  <c:formatCode>General</c:formatCode>
                  <c:ptCount val="11"/>
                  <c:pt idx="0">
                    <c:v>2.7772295026110966E-2</c:v>
                  </c:pt>
                  <c:pt idx="1">
                    <c:v>2.4391319979454023E-2</c:v>
                  </c:pt>
                  <c:pt idx="2">
                    <c:v>1.7629369886140007E-2</c:v>
                  </c:pt>
                  <c:pt idx="3">
                    <c:v>1.513388830408367E-2</c:v>
                  </c:pt>
                  <c:pt idx="4">
                    <c:v>1.2477407910281733E-2</c:v>
                  </c:pt>
                  <c:pt idx="5">
                    <c:v>9.9819263282254021E-3</c:v>
                  </c:pt>
                  <c:pt idx="6">
                    <c:v>6.9229489050595524E-3</c:v>
                  </c:pt>
                  <c:pt idx="7">
                    <c:v>5.2324613817310529E-3</c:v>
                  </c:pt>
                  <c:pt idx="8">
                    <c:v>4.8299643523671285E-3</c:v>
                  </c:pt>
                  <c:pt idx="9">
                    <c:v>3.5419738584025607E-3</c:v>
                  </c:pt>
                  <c:pt idx="10">
                    <c:v>1.6904875233284948E-3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dk1">
                    <a:lumMod val="50000"/>
                    <a:lumOff val="50000"/>
                  </a:schemeClr>
                </a:solidFill>
                <a:round/>
              </a:ln>
              <a:effectLst/>
            </c:spPr>
          </c:errBars>
          <c:xVal>
            <c:numRef>
              <c:f>Auswertung_Zeit!$B$29:$L$29</c:f>
              <c:numCache>
                <c:formatCode>#.#0\°</c:formatCode>
                <c:ptCount val="1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</c:numCache>
            </c:numRef>
          </c:xVal>
          <c:yVal>
            <c:numRef>
              <c:f>Auswertung_Zeit!$B$51:$L$51</c:f>
              <c:numCache>
                <c:formatCode>0.00%</c:formatCode>
                <c:ptCount val="11"/>
                <c:pt idx="0">
                  <c:v>8.168260473588343E-2</c:v>
                </c:pt>
                <c:pt idx="1">
                  <c:v>6.5289162112932606E-2</c:v>
                </c:pt>
                <c:pt idx="2">
                  <c:v>5.1058743169398908E-2</c:v>
                </c:pt>
                <c:pt idx="3">
                  <c:v>3.9162112932604735E-2</c:v>
                </c:pt>
                <c:pt idx="4">
                  <c:v>3.0680783242258654E-2</c:v>
                </c:pt>
                <c:pt idx="5">
                  <c:v>2.2313296903460837E-2</c:v>
                </c:pt>
                <c:pt idx="6">
                  <c:v>1.5368852459016393E-2</c:v>
                </c:pt>
                <c:pt idx="7">
                  <c:v>8.8228597449908925E-3</c:v>
                </c:pt>
                <c:pt idx="8">
                  <c:v>5.2367941712204002E-3</c:v>
                </c:pt>
                <c:pt idx="9">
                  <c:v>2.6183970856102001E-3</c:v>
                </c:pt>
                <c:pt idx="10">
                  <c:v>1.1953551912568306E-3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FA-4FD2-AA3F-C229E43B8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146191"/>
        <c:axId val="101158671"/>
      </c:scatterChart>
      <c:valAx>
        <c:axId val="101146191"/>
        <c:scaling>
          <c:orientation val="minMax"/>
          <c:min val="2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b="0"/>
                  <a:t>Zieltemperatur im Serverraum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.#0\°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1158671"/>
        <c:crosses val="autoZero"/>
        <c:crossBetween val="midCat"/>
      </c:valAx>
      <c:valAx>
        <c:axId val="10115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b="0"/>
                  <a:t>Prozent  der Stunden im Jahr über der Zeiltemperatur</a:t>
                </a:r>
              </a:p>
            </c:rich>
          </c:tx>
          <c:layout>
            <c:manualLayout>
              <c:xMode val="edge"/>
              <c:yMode val="edge"/>
              <c:x val="1.5940979831130665E-2"/>
              <c:y val="0.10257002797220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1146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4158702877543"/>
          <c:y val="4.597937197695974E-2"/>
          <c:w val="0.8643338422332858"/>
          <c:h val="0.62279437494261036"/>
        </c:manualLayout>
      </c:layout>
      <c:lineChart>
        <c:grouping val="standard"/>
        <c:varyColors val="0"/>
        <c:ser>
          <c:idx val="0"/>
          <c:order val="0"/>
          <c:tx>
            <c:strRef>
              <c:f>Auswertung_Zeit!$B$29</c:f>
              <c:strCache>
                <c:ptCount val="1"/>
                <c:pt idx="0">
                  <c:v>22,0°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Auswertung_Zeit!$A$30:$A$51</c:f>
              <c:strCache>
                <c:ptCount val="22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Mean</c:v>
                </c:pt>
              </c:strCache>
            </c:strRef>
          </c:cat>
          <c:val>
            <c:numRef>
              <c:f>Auswertung_Zeit!$B$30:$B$50</c:f>
              <c:numCache>
                <c:formatCode>0.00%</c:formatCode>
                <c:ptCount val="21"/>
                <c:pt idx="0">
                  <c:v>6.2044626593806919E-2</c:v>
                </c:pt>
                <c:pt idx="1">
                  <c:v>6.7922374429223747E-2</c:v>
                </c:pt>
                <c:pt idx="2">
                  <c:v>8.3333333333333329E-2</c:v>
                </c:pt>
                <c:pt idx="3">
                  <c:v>6.6780821917808222E-2</c:v>
                </c:pt>
                <c:pt idx="4">
                  <c:v>6.8761384335154829E-2</c:v>
                </c:pt>
                <c:pt idx="5">
                  <c:v>6.860730593607306E-2</c:v>
                </c:pt>
                <c:pt idx="6">
                  <c:v>6.2899543378995434E-2</c:v>
                </c:pt>
                <c:pt idx="7">
                  <c:v>7.5913242009132423E-2</c:v>
                </c:pt>
                <c:pt idx="8">
                  <c:v>9.1757741347905278E-2</c:v>
                </c:pt>
                <c:pt idx="9">
                  <c:v>7.8538812785388129E-2</c:v>
                </c:pt>
                <c:pt idx="10">
                  <c:v>6.5981735159817353E-2</c:v>
                </c:pt>
                <c:pt idx="11">
                  <c:v>9.4977168949771693E-2</c:v>
                </c:pt>
                <c:pt idx="12">
                  <c:v>8.3105646630236799E-2</c:v>
                </c:pt>
                <c:pt idx="13">
                  <c:v>8.8584474885844755E-2</c:v>
                </c:pt>
                <c:pt idx="14">
                  <c:v>0.13926940639269406</c:v>
                </c:pt>
                <c:pt idx="15">
                  <c:v>0.10171232876712329</c:v>
                </c:pt>
                <c:pt idx="16">
                  <c:v>8.7090163934426229E-2</c:v>
                </c:pt>
                <c:pt idx="17">
                  <c:v>7.0091324200913241E-2</c:v>
                </c:pt>
                <c:pt idx="18">
                  <c:v>0.11267123287671232</c:v>
                </c:pt>
                <c:pt idx="19">
                  <c:v>0.10799086757990868</c:v>
                </c:pt>
                <c:pt idx="20">
                  <c:v>0.10132058287795993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9-4408-BC0F-EE5404890DDC}"/>
            </c:ext>
          </c:extLst>
        </c:ser>
        <c:ser>
          <c:idx val="1"/>
          <c:order val="1"/>
          <c:tx>
            <c:strRef>
              <c:f>Auswertung_Zeit!$C$29</c:f>
              <c:strCache>
                <c:ptCount val="1"/>
                <c:pt idx="0">
                  <c:v>23,0°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</c:numCache>
            </c:numRef>
          </c:cat>
          <c:val>
            <c:numRef>
              <c:f>Auswertung_Zeit!$C$30:$C$50</c:f>
              <c:numCache>
                <c:formatCode>0.00%</c:formatCode>
                <c:ptCount val="21"/>
                <c:pt idx="0">
                  <c:v>4.8041894353369766E-2</c:v>
                </c:pt>
                <c:pt idx="1">
                  <c:v>5.4794520547945202E-2</c:v>
                </c:pt>
                <c:pt idx="2">
                  <c:v>6.7808219178082191E-2</c:v>
                </c:pt>
                <c:pt idx="3">
                  <c:v>5.0570776255707765E-2</c:v>
                </c:pt>
                <c:pt idx="4">
                  <c:v>5.1912568306010931E-2</c:v>
                </c:pt>
                <c:pt idx="5">
                  <c:v>0.05</c:v>
                </c:pt>
                <c:pt idx="6">
                  <c:v>5.194063926940639E-2</c:v>
                </c:pt>
                <c:pt idx="7">
                  <c:v>5.7990867579908678E-2</c:v>
                </c:pt>
                <c:pt idx="8">
                  <c:v>7.251821493624773E-2</c:v>
                </c:pt>
                <c:pt idx="9">
                  <c:v>6.3242009132420091E-2</c:v>
                </c:pt>
                <c:pt idx="10">
                  <c:v>4.942922374429224E-2</c:v>
                </c:pt>
                <c:pt idx="11">
                  <c:v>8.0821917808219179E-2</c:v>
                </c:pt>
                <c:pt idx="12">
                  <c:v>6.62568306010929E-2</c:v>
                </c:pt>
                <c:pt idx="13">
                  <c:v>7.2374429223744291E-2</c:v>
                </c:pt>
                <c:pt idx="14">
                  <c:v>0.11689497716894977</c:v>
                </c:pt>
                <c:pt idx="15">
                  <c:v>8.253424657534246E-2</c:v>
                </c:pt>
                <c:pt idx="16">
                  <c:v>6.9102914389799638E-2</c:v>
                </c:pt>
                <c:pt idx="17">
                  <c:v>5.3538812785388128E-2</c:v>
                </c:pt>
                <c:pt idx="18">
                  <c:v>9.3378995433789955E-2</c:v>
                </c:pt>
                <c:pt idx="19">
                  <c:v>8.6073059360730592E-2</c:v>
                </c:pt>
                <c:pt idx="20">
                  <c:v>8.2536429872495445E-2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C9-4408-BC0F-EE5404890DDC}"/>
            </c:ext>
          </c:extLst>
        </c:ser>
        <c:ser>
          <c:idx val="2"/>
          <c:order val="2"/>
          <c:tx>
            <c:strRef>
              <c:f>Auswertung_Zeit!$D$29</c:f>
              <c:strCache>
                <c:ptCount val="1"/>
                <c:pt idx="0">
                  <c:v>24,0°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</c:numCache>
            </c:numRef>
          </c:cat>
          <c:val>
            <c:numRef>
              <c:f>Auswertung_Zeit!$D$30:$D$50</c:f>
              <c:numCache>
                <c:formatCode>0.00%</c:formatCode>
                <c:ptCount val="21"/>
                <c:pt idx="0">
                  <c:v>3.8592896174863389E-2</c:v>
                </c:pt>
                <c:pt idx="1">
                  <c:v>4.4634703196347034E-2</c:v>
                </c:pt>
                <c:pt idx="2">
                  <c:v>5.410958904109589E-2</c:v>
                </c:pt>
                <c:pt idx="3">
                  <c:v>3.5730593607305933E-2</c:v>
                </c:pt>
                <c:pt idx="4">
                  <c:v>3.8479052823315117E-2</c:v>
                </c:pt>
                <c:pt idx="5">
                  <c:v>3.8698630136986302E-2</c:v>
                </c:pt>
                <c:pt idx="6">
                  <c:v>4.2808219178082189E-2</c:v>
                </c:pt>
                <c:pt idx="7">
                  <c:v>4.0639269406392696E-2</c:v>
                </c:pt>
                <c:pt idx="8">
                  <c:v>5.4758652094717669E-2</c:v>
                </c:pt>
                <c:pt idx="9">
                  <c:v>0.05</c:v>
                </c:pt>
                <c:pt idx="10">
                  <c:v>3.6529680365296802E-2</c:v>
                </c:pt>
                <c:pt idx="11">
                  <c:v>7.0205479452054798E-2</c:v>
                </c:pt>
                <c:pt idx="12">
                  <c:v>5.1912568306010931E-2</c:v>
                </c:pt>
                <c:pt idx="13">
                  <c:v>5.6164383561643834E-2</c:v>
                </c:pt>
                <c:pt idx="14">
                  <c:v>9.3721461187214611E-2</c:v>
                </c:pt>
                <c:pt idx="15">
                  <c:v>6.609589041095891E-2</c:v>
                </c:pt>
                <c:pt idx="16">
                  <c:v>5.3051001821493624E-2</c:v>
                </c:pt>
                <c:pt idx="17">
                  <c:v>3.801369863013699E-2</c:v>
                </c:pt>
                <c:pt idx="18">
                  <c:v>7.8652968036529686E-2</c:v>
                </c:pt>
                <c:pt idx="19">
                  <c:v>6.6438356164383566E-2</c:v>
                </c:pt>
                <c:pt idx="20">
                  <c:v>6.3524590163934427E-2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C9-4408-BC0F-EE5404890DDC}"/>
            </c:ext>
          </c:extLst>
        </c:ser>
        <c:ser>
          <c:idx val="3"/>
          <c:order val="3"/>
          <c:tx>
            <c:strRef>
              <c:f>Auswertung_Zeit!$E$29</c:f>
              <c:strCache>
                <c:ptCount val="1"/>
                <c:pt idx="0">
                  <c:v>25,0°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</c:numCache>
            </c:numRef>
          </c:cat>
          <c:val>
            <c:numRef>
              <c:f>Auswertung_Zeit!$E$30:$E$50</c:f>
              <c:numCache>
                <c:formatCode>0.00%</c:formatCode>
                <c:ptCount val="21"/>
                <c:pt idx="0">
                  <c:v>2.8460837887067394E-2</c:v>
                </c:pt>
                <c:pt idx="1">
                  <c:v>3.515981735159817E-2</c:v>
                </c:pt>
                <c:pt idx="2">
                  <c:v>4.4406392694063927E-2</c:v>
                </c:pt>
                <c:pt idx="3">
                  <c:v>2.6598173515981736E-2</c:v>
                </c:pt>
                <c:pt idx="4">
                  <c:v>2.8688524590163935E-2</c:v>
                </c:pt>
                <c:pt idx="5">
                  <c:v>2.7511415525114154E-2</c:v>
                </c:pt>
                <c:pt idx="6">
                  <c:v>3.6187214611872145E-2</c:v>
                </c:pt>
                <c:pt idx="7">
                  <c:v>2.7625570776255708E-2</c:v>
                </c:pt>
                <c:pt idx="8">
                  <c:v>4.1666666666666664E-2</c:v>
                </c:pt>
                <c:pt idx="9">
                  <c:v>4.0182648401826483E-2</c:v>
                </c:pt>
                <c:pt idx="10">
                  <c:v>2.6027397260273973E-2</c:v>
                </c:pt>
                <c:pt idx="11">
                  <c:v>5.9474885844748859E-2</c:v>
                </c:pt>
                <c:pt idx="12">
                  <c:v>3.8365209471766852E-2</c:v>
                </c:pt>
                <c:pt idx="13">
                  <c:v>4.1666666666666664E-2</c:v>
                </c:pt>
                <c:pt idx="14">
                  <c:v>7.5570776255707767E-2</c:v>
                </c:pt>
                <c:pt idx="15">
                  <c:v>5.2968036529680365E-2</c:v>
                </c:pt>
                <c:pt idx="16">
                  <c:v>4.04143897996357E-2</c:v>
                </c:pt>
                <c:pt idx="17">
                  <c:v>2.4657534246575342E-2</c:v>
                </c:pt>
                <c:pt idx="18">
                  <c:v>6.3356164383561647E-2</c:v>
                </c:pt>
                <c:pt idx="19">
                  <c:v>5.171232876712329E-2</c:v>
                </c:pt>
                <c:pt idx="20">
                  <c:v>4.9863387978142076E-2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C9-4408-BC0F-EE5404890DDC}"/>
            </c:ext>
          </c:extLst>
        </c:ser>
        <c:ser>
          <c:idx val="4"/>
          <c:order val="4"/>
          <c:tx>
            <c:strRef>
              <c:f>Auswertung_Zeit!$F$29</c:f>
              <c:strCache>
                <c:ptCount val="1"/>
                <c:pt idx="0">
                  <c:v>26,0°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</c:numCache>
            </c:numRef>
          </c:cat>
          <c:val>
            <c:numRef>
              <c:f>Auswertung_Zeit!$F$30:$F$50</c:f>
              <c:numCache>
                <c:formatCode>0.00%</c:formatCode>
                <c:ptCount val="21"/>
                <c:pt idx="0">
                  <c:v>2.185792349726776E-2</c:v>
                </c:pt>
                <c:pt idx="1">
                  <c:v>2.7625570776255708E-2</c:v>
                </c:pt>
                <c:pt idx="2">
                  <c:v>3.4817351598173514E-2</c:v>
                </c:pt>
                <c:pt idx="3">
                  <c:v>1.7579908675799085E-2</c:v>
                </c:pt>
                <c:pt idx="4">
                  <c:v>2.185792349726776E-2</c:v>
                </c:pt>
                <c:pt idx="5">
                  <c:v>1.7009132420091323E-2</c:v>
                </c:pt>
                <c:pt idx="6">
                  <c:v>2.8424657534246577E-2</c:v>
                </c:pt>
                <c:pt idx="7">
                  <c:v>1.9178082191780823E-2</c:v>
                </c:pt>
                <c:pt idx="8">
                  <c:v>3.0282331511839709E-2</c:v>
                </c:pt>
                <c:pt idx="9">
                  <c:v>3.1963470319634701E-2</c:v>
                </c:pt>
                <c:pt idx="10">
                  <c:v>2.0091324200913242E-2</c:v>
                </c:pt>
                <c:pt idx="11">
                  <c:v>4.8972602739726027E-2</c:v>
                </c:pt>
                <c:pt idx="12">
                  <c:v>2.7777777777777776E-2</c:v>
                </c:pt>
                <c:pt idx="13">
                  <c:v>3.093607305936073E-2</c:v>
                </c:pt>
                <c:pt idx="14">
                  <c:v>5.9589041095890409E-2</c:v>
                </c:pt>
                <c:pt idx="15">
                  <c:v>4.0525114155251139E-2</c:v>
                </c:pt>
                <c:pt idx="16">
                  <c:v>2.99408014571949E-2</c:v>
                </c:pt>
                <c:pt idx="17">
                  <c:v>1.632420091324201E-2</c:v>
                </c:pt>
                <c:pt idx="18">
                  <c:v>5.0570776255707765E-2</c:v>
                </c:pt>
                <c:pt idx="19">
                  <c:v>3.9041095890410958E-2</c:v>
                </c:pt>
                <c:pt idx="20">
                  <c:v>3.9503642987249545E-2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C9-4408-BC0F-EE5404890DDC}"/>
            </c:ext>
          </c:extLst>
        </c:ser>
        <c:ser>
          <c:idx val="5"/>
          <c:order val="5"/>
          <c:tx>
            <c:strRef>
              <c:f>Auswertung_Zeit!$G$29</c:f>
              <c:strCache>
                <c:ptCount val="1"/>
                <c:pt idx="0">
                  <c:v>27,0°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</c:numCache>
            </c:numRef>
          </c:cat>
          <c:val>
            <c:numRef>
              <c:f>Auswertung_Zeit!$G$30:$G$50</c:f>
              <c:numCache>
                <c:formatCode>0.00%</c:formatCode>
                <c:ptCount val="21"/>
                <c:pt idx="0">
                  <c:v>1.5255009107468125E-2</c:v>
                </c:pt>
                <c:pt idx="1">
                  <c:v>1.9406392694063926E-2</c:v>
                </c:pt>
                <c:pt idx="2">
                  <c:v>2.5114155251141551E-2</c:v>
                </c:pt>
                <c:pt idx="3">
                  <c:v>1.0958904109589041E-2</c:v>
                </c:pt>
                <c:pt idx="4">
                  <c:v>1.5027322404371584E-2</c:v>
                </c:pt>
                <c:pt idx="5">
                  <c:v>9.7031963470319629E-3</c:v>
                </c:pt>
                <c:pt idx="6">
                  <c:v>2.1461187214611873E-2</c:v>
                </c:pt>
                <c:pt idx="7">
                  <c:v>1.3356164383561644E-2</c:v>
                </c:pt>
                <c:pt idx="8">
                  <c:v>2.2313296903460837E-2</c:v>
                </c:pt>
                <c:pt idx="9">
                  <c:v>2.4657534246575342E-2</c:v>
                </c:pt>
                <c:pt idx="10">
                  <c:v>1.449771689497717E-2</c:v>
                </c:pt>
                <c:pt idx="11">
                  <c:v>3.9497716894977171E-2</c:v>
                </c:pt>
                <c:pt idx="12">
                  <c:v>1.9239526411657559E-2</c:v>
                </c:pt>
                <c:pt idx="13">
                  <c:v>2.1689497716894976E-2</c:v>
                </c:pt>
                <c:pt idx="14">
                  <c:v>4.3264840182648402E-2</c:v>
                </c:pt>
                <c:pt idx="15">
                  <c:v>3.1963470319634701E-2</c:v>
                </c:pt>
                <c:pt idx="16">
                  <c:v>2.2199453551912569E-2</c:v>
                </c:pt>
                <c:pt idx="17">
                  <c:v>1.0388127853881279E-2</c:v>
                </c:pt>
                <c:pt idx="18">
                  <c:v>3.6073059360730596E-2</c:v>
                </c:pt>
                <c:pt idx="19">
                  <c:v>2.9109589041095889E-2</c:v>
                </c:pt>
                <c:pt idx="20">
                  <c:v>2.9371584699453553E-2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C9-4408-BC0F-EE5404890DDC}"/>
            </c:ext>
          </c:extLst>
        </c:ser>
        <c:ser>
          <c:idx val="6"/>
          <c:order val="6"/>
          <c:tx>
            <c:strRef>
              <c:f>Auswertung_Zeit!$H$29</c:f>
              <c:strCache>
                <c:ptCount val="1"/>
                <c:pt idx="0">
                  <c:v>28,0°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</c:numCache>
            </c:numRef>
          </c:cat>
          <c:val>
            <c:numRef>
              <c:f>Auswertung_Zeit!$H$30:$H$50</c:f>
              <c:numCache>
                <c:formatCode>0.00%</c:formatCode>
                <c:ptCount val="21"/>
                <c:pt idx="0">
                  <c:v>1.0473588342440802E-2</c:v>
                </c:pt>
                <c:pt idx="1">
                  <c:v>1.4155251141552512E-2</c:v>
                </c:pt>
                <c:pt idx="2">
                  <c:v>1.7579908675799085E-2</c:v>
                </c:pt>
                <c:pt idx="3">
                  <c:v>6.6210045662100456E-3</c:v>
                </c:pt>
                <c:pt idx="4">
                  <c:v>1.0815118397085609E-2</c:v>
                </c:pt>
                <c:pt idx="5">
                  <c:v>5.2511415525114159E-3</c:v>
                </c:pt>
                <c:pt idx="6">
                  <c:v>1.5296803652968037E-2</c:v>
                </c:pt>
                <c:pt idx="7">
                  <c:v>7.6484018264840184E-3</c:v>
                </c:pt>
                <c:pt idx="8">
                  <c:v>1.6393442622950821E-2</c:v>
                </c:pt>
                <c:pt idx="9">
                  <c:v>1.872146118721461E-2</c:v>
                </c:pt>
                <c:pt idx="10">
                  <c:v>1.0045662100456621E-2</c:v>
                </c:pt>
                <c:pt idx="11">
                  <c:v>3.287671232876712E-2</c:v>
                </c:pt>
                <c:pt idx="12">
                  <c:v>1.377504553734062E-2</c:v>
                </c:pt>
                <c:pt idx="13">
                  <c:v>1.4611872146118721E-2</c:v>
                </c:pt>
                <c:pt idx="14">
                  <c:v>2.9566210045662102E-2</c:v>
                </c:pt>
                <c:pt idx="15">
                  <c:v>2.5114155251141551E-2</c:v>
                </c:pt>
                <c:pt idx="16">
                  <c:v>1.5368852459016393E-2</c:v>
                </c:pt>
                <c:pt idx="17">
                  <c:v>6.392694063926941E-3</c:v>
                </c:pt>
                <c:pt idx="18">
                  <c:v>2.4885844748858448E-2</c:v>
                </c:pt>
                <c:pt idx="19">
                  <c:v>2.0890410958904111E-2</c:v>
                </c:pt>
                <c:pt idx="20">
                  <c:v>2.0264116575591986E-2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CC9-4408-BC0F-EE5404890DDC}"/>
            </c:ext>
          </c:extLst>
        </c:ser>
        <c:ser>
          <c:idx val="7"/>
          <c:order val="7"/>
          <c:tx>
            <c:strRef>
              <c:f>Auswertung_Zeit!$I$29</c:f>
              <c:strCache>
                <c:ptCount val="1"/>
                <c:pt idx="0">
                  <c:v>29,0°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</c:numCache>
            </c:numRef>
          </c:cat>
          <c:val>
            <c:numRef>
              <c:f>Auswertung_Zeit!$I$30:$I$50</c:f>
              <c:numCache>
                <c:formatCode>0.00%</c:formatCode>
                <c:ptCount val="21"/>
                <c:pt idx="0">
                  <c:v>5.1229508196721308E-3</c:v>
                </c:pt>
                <c:pt idx="1">
                  <c:v>9.2465753424657536E-3</c:v>
                </c:pt>
                <c:pt idx="2">
                  <c:v>1.2100456621004566E-2</c:v>
                </c:pt>
                <c:pt idx="3">
                  <c:v>3.5388127853881279E-3</c:v>
                </c:pt>
                <c:pt idx="4">
                  <c:v>6.9444444444444441E-3</c:v>
                </c:pt>
                <c:pt idx="5">
                  <c:v>3.0821917808219177E-3</c:v>
                </c:pt>
                <c:pt idx="6">
                  <c:v>1.0844748858447488E-2</c:v>
                </c:pt>
                <c:pt idx="7">
                  <c:v>4.5662100456621002E-3</c:v>
                </c:pt>
                <c:pt idx="8">
                  <c:v>1.2181238615664846E-2</c:v>
                </c:pt>
                <c:pt idx="9">
                  <c:v>1.4155251141552512E-2</c:v>
                </c:pt>
                <c:pt idx="10">
                  <c:v>7.3059360730593605E-3</c:v>
                </c:pt>
                <c:pt idx="11">
                  <c:v>2.7283105022831051E-2</c:v>
                </c:pt>
                <c:pt idx="12">
                  <c:v>9.4489981785063747E-3</c:v>
                </c:pt>
                <c:pt idx="13">
                  <c:v>9.4748858447488583E-3</c:v>
                </c:pt>
                <c:pt idx="14">
                  <c:v>2.0547945205479451E-2</c:v>
                </c:pt>
                <c:pt idx="15">
                  <c:v>1.8378995433789954E-2</c:v>
                </c:pt>
                <c:pt idx="16">
                  <c:v>1.0018214936247723E-2</c:v>
                </c:pt>
                <c:pt idx="17">
                  <c:v>4.2237442922374432E-3</c:v>
                </c:pt>
                <c:pt idx="18">
                  <c:v>1.906392694063927E-2</c:v>
                </c:pt>
                <c:pt idx="19">
                  <c:v>1.3698630136986301E-2</c:v>
                </c:pt>
                <c:pt idx="20">
                  <c:v>1.2522768670309653E-2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C9-4408-BC0F-EE5404890DDC}"/>
            </c:ext>
          </c:extLst>
        </c:ser>
        <c:ser>
          <c:idx val="8"/>
          <c:order val="8"/>
          <c:tx>
            <c:strRef>
              <c:f>Auswertung_Zeit!$J$29</c:f>
              <c:strCache>
                <c:ptCount val="1"/>
                <c:pt idx="0">
                  <c:v>30,0°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</c:numCache>
            </c:numRef>
          </c:cat>
          <c:val>
            <c:numRef>
              <c:f>Auswertung_Zeit!$J$30:$J$50</c:f>
              <c:numCache>
                <c:formatCode>0.00%</c:formatCode>
                <c:ptCount val="21"/>
                <c:pt idx="0">
                  <c:v>1.8214936247723133E-3</c:v>
                </c:pt>
                <c:pt idx="1">
                  <c:v>5.4794520547945206E-3</c:v>
                </c:pt>
                <c:pt idx="2">
                  <c:v>8.5616438356164379E-3</c:v>
                </c:pt>
                <c:pt idx="3">
                  <c:v>2.2831050228310501E-3</c:v>
                </c:pt>
                <c:pt idx="4">
                  <c:v>3.5291438979963572E-3</c:v>
                </c:pt>
                <c:pt idx="5">
                  <c:v>1.3698630136986301E-3</c:v>
                </c:pt>
                <c:pt idx="6">
                  <c:v>8.5616438356164379E-3</c:v>
                </c:pt>
                <c:pt idx="7">
                  <c:v>2.8538812785388126E-3</c:v>
                </c:pt>
                <c:pt idx="8">
                  <c:v>7.9690346083788714E-3</c:v>
                </c:pt>
                <c:pt idx="9">
                  <c:v>1.0616438356164383E-2</c:v>
                </c:pt>
                <c:pt idx="10">
                  <c:v>5.1369863013698627E-3</c:v>
                </c:pt>
                <c:pt idx="11">
                  <c:v>2.2031963470319636E-2</c:v>
                </c:pt>
                <c:pt idx="12">
                  <c:v>6.7167577413479052E-3</c:v>
                </c:pt>
                <c:pt idx="13">
                  <c:v>5.2511415525114159E-3</c:v>
                </c:pt>
                <c:pt idx="14">
                  <c:v>1.1986301369863013E-2</c:v>
                </c:pt>
                <c:pt idx="15">
                  <c:v>1.2328767123287671E-2</c:v>
                </c:pt>
                <c:pt idx="16">
                  <c:v>7.6275045537340623E-3</c:v>
                </c:pt>
                <c:pt idx="17">
                  <c:v>2.2831050228310501E-3</c:v>
                </c:pt>
                <c:pt idx="18">
                  <c:v>1.2671232876712329E-2</c:v>
                </c:pt>
                <c:pt idx="19">
                  <c:v>9.4748858447488583E-3</c:v>
                </c:pt>
                <c:pt idx="20">
                  <c:v>8.6520947176684879E-3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CC9-4408-BC0F-EE5404890DDC}"/>
            </c:ext>
          </c:extLst>
        </c:ser>
        <c:ser>
          <c:idx val="9"/>
          <c:order val="9"/>
          <c:tx>
            <c:strRef>
              <c:f>Auswertung_Zeit!$K$29</c:f>
              <c:strCache>
                <c:ptCount val="1"/>
                <c:pt idx="0">
                  <c:v>31,0°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</c:numCache>
            </c:numRef>
          </c:cat>
          <c:val>
            <c:numRef>
              <c:f>Auswertung_Zeit!$K$30:$K$50</c:f>
              <c:numCache>
                <c:formatCode>0.00%</c:formatCode>
                <c:ptCount val="21"/>
                <c:pt idx="0">
                  <c:v>1.1384335154826958E-4</c:v>
                </c:pt>
                <c:pt idx="1">
                  <c:v>3.1963470319634705E-3</c:v>
                </c:pt>
                <c:pt idx="2">
                  <c:v>5.2511415525114159E-3</c:v>
                </c:pt>
                <c:pt idx="3">
                  <c:v>1.7123287671232876E-3</c:v>
                </c:pt>
                <c:pt idx="4">
                  <c:v>7.9690346083788712E-4</c:v>
                </c:pt>
                <c:pt idx="5">
                  <c:v>1.1415525114155251E-3</c:v>
                </c:pt>
                <c:pt idx="6">
                  <c:v>6.392694063926941E-3</c:v>
                </c:pt>
                <c:pt idx="7">
                  <c:v>1.4840182648401827E-3</c:v>
                </c:pt>
                <c:pt idx="8">
                  <c:v>4.7814207650273225E-3</c:v>
                </c:pt>
                <c:pt idx="9">
                  <c:v>8.1050228310502286E-3</c:v>
                </c:pt>
                <c:pt idx="10">
                  <c:v>3.0821917808219177E-3</c:v>
                </c:pt>
                <c:pt idx="11">
                  <c:v>1.678082191780822E-2</c:v>
                </c:pt>
                <c:pt idx="12">
                  <c:v>3.4153005464480873E-3</c:v>
                </c:pt>
                <c:pt idx="13">
                  <c:v>2.9680365296803654E-3</c:v>
                </c:pt>
                <c:pt idx="14">
                  <c:v>7.534246575342466E-3</c:v>
                </c:pt>
                <c:pt idx="15">
                  <c:v>8.1050228310502286E-3</c:v>
                </c:pt>
                <c:pt idx="16">
                  <c:v>6.1475409836065573E-3</c:v>
                </c:pt>
                <c:pt idx="17">
                  <c:v>1.5981735159817352E-3</c:v>
                </c:pt>
                <c:pt idx="18">
                  <c:v>8.7899543378995425E-3</c:v>
                </c:pt>
                <c:pt idx="19">
                  <c:v>5.4794520547945206E-3</c:v>
                </c:pt>
                <c:pt idx="20">
                  <c:v>5.1229508196721308E-3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C9-4408-BC0F-EE5404890DDC}"/>
            </c:ext>
          </c:extLst>
        </c:ser>
        <c:ser>
          <c:idx val="10"/>
          <c:order val="10"/>
          <c:tx>
            <c:strRef>
              <c:f>Auswertung_Zeit!$L$29</c:f>
              <c:strCache>
                <c:ptCount val="1"/>
                <c:pt idx="0">
                  <c:v>32,0°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Auswertung_Zeit!$A$30:$A$35</c:f>
              <c:numCache>
                <c:formatCode>General</c:formatCode>
                <c:ptCount val="6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</c:numCache>
            </c:numRef>
          </c:cat>
          <c:val>
            <c:numRef>
              <c:f>Auswertung_Zeit!$L$30:$L$50</c:f>
              <c:numCache>
                <c:formatCode>0.00%</c:formatCode>
                <c:ptCount val="21"/>
                <c:pt idx="0">
                  <c:v>0</c:v>
                </c:pt>
                <c:pt idx="1">
                  <c:v>1.5981735159817352E-3</c:v>
                </c:pt>
                <c:pt idx="2">
                  <c:v>3.5388127853881279E-3</c:v>
                </c:pt>
                <c:pt idx="3">
                  <c:v>1.3698630136986301E-3</c:v>
                </c:pt>
                <c:pt idx="4">
                  <c:v>0</c:v>
                </c:pt>
                <c:pt idx="5">
                  <c:v>4.5662100456621003E-4</c:v>
                </c:pt>
                <c:pt idx="6">
                  <c:v>3.9954337899543377E-3</c:v>
                </c:pt>
                <c:pt idx="7">
                  <c:v>9.1324200913242006E-4</c:v>
                </c:pt>
                <c:pt idx="8">
                  <c:v>3.756830601092896E-3</c:v>
                </c:pt>
                <c:pt idx="9">
                  <c:v>5.5936073059360729E-3</c:v>
                </c:pt>
                <c:pt idx="10">
                  <c:v>1.5981735159817352E-3</c:v>
                </c:pt>
                <c:pt idx="11">
                  <c:v>1.2214611872146119E-2</c:v>
                </c:pt>
                <c:pt idx="12">
                  <c:v>1.2522768670309653E-3</c:v>
                </c:pt>
                <c:pt idx="13">
                  <c:v>1.0273972602739725E-3</c:v>
                </c:pt>
                <c:pt idx="14">
                  <c:v>4.2237442922374432E-3</c:v>
                </c:pt>
                <c:pt idx="15">
                  <c:v>6.5068493150684933E-3</c:v>
                </c:pt>
                <c:pt idx="16">
                  <c:v>4.2122040072859745E-3</c:v>
                </c:pt>
                <c:pt idx="17">
                  <c:v>5.7077625570776253E-4</c:v>
                </c:pt>
                <c:pt idx="18">
                  <c:v>6.5068493150684933E-3</c:v>
                </c:pt>
                <c:pt idx="19">
                  <c:v>3.3105022831050228E-3</c:v>
                </c:pt>
                <c:pt idx="20">
                  <c:v>2.3907103825136613E-3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CC9-4408-BC0F-EE5404890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4567920"/>
        <c:axId val="364566960"/>
      </c:lineChart>
      <c:catAx>
        <c:axId val="364567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/>
                  <a:t>Jahre</a:t>
                </a:r>
              </a:p>
            </c:rich>
          </c:tx>
          <c:layout>
            <c:manualLayout>
              <c:xMode val="edge"/>
              <c:yMode val="edge"/>
              <c:x val="0.51326442774840397"/>
              <c:y val="0.776143946970693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364566960"/>
        <c:crosses val="autoZero"/>
        <c:auto val="1"/>
        <c:lblAlgn val="ctr"/>
        <c:lblOffset val="100"/>
        <c:noMultiLvlLbl val="0"/>
      </c:catAx>
      <c:valAx>
        <c:axId val="36456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/>
                  <a:t>Prozent der Stunden im Jahr über der Zieltmeperatur</a:t>
                </a:r>
              </a:p>
            </c:rich>
          </c:tx>
          <c:layout>
            <c:manualLayout>
              <c:xMode val="edge"/>
              <c:yMode val="edge"/>
              <c:x val="3.4959397899139268E-3"/>
              <c:y val="2.23410274800407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36456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5194537636025"/>
          <c:y val="0.82003688315952705"/>
          <c:w val="0.81215658352386411"/>
          <c:h val="0.15705021323734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863476396797733E-2"/>
          <c:y val="4.1785094892279807E-2"/>
          <c:w val="0.88452721150186953"/>
          <c:h val="0.76429382216084218"/>
        </c:manualLayout>
      </c:layout>
      <c:lineChart>
        <c:grouping val="standard"/>
        <c:varyColors val="0"/>
        <c:ser>
          <c:idx val="0"/>
          <c:order val="0"/>
          <c:tx>
            <c:v>direkte freie Kühlung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Auswertung_PUE!$A$42:$A$52</c:f>
              <c:numCache>
                <c:formatCode>#.#0\°</c:formatCode>
                <c:ptCount val="1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</c:numCache>
            </c:numRef>
          </c:cat>
          <c:val>
            <c:numRef>
              <c:f>Auswertung_PUE!$E$42:$E$52</c:f>
              <c:numCache>
                <c:formatCode>0.0000</c:formatCode>
                <c:ptCount val="11"/>
                <c:pt idx="0">
                  <c:v>1.2014320568647541</c:v>
                </c:pt>
                <c:pt idx="1">
                  <c:v>1.1961021388319673</c:v>
                </c:pt>
                <c:pt idx="2">
                  <c:v>1.1914754738729507</c:v>
                </c:pt>
                <c:pt idx="3">
                  <c:v>1.1876075819672132</c:v>
                </c:pt>
                <c:pt idx="4">
                  <c:v>1.1848500896516394</c:v>
                </c:pt>
                <c:pt idx="5">
                  <c:v>1.1821296106557377</c:v>
                </c:pt>
                <c:pt idx="6">
                  <c:v>1.1798717981557376</c:v>
                </c:pt>
                <c:pt idx="7">
                  <c:v>1.1777435322745902</c:v>
                </c:pt>
                <c:pt idx="8">
                  <c:v>1.1765776127049179</c:v>
                </c:pt>
                <c:pt idx="9">
                  <c:v>1.175726306352459</c:v>
                </c:pt>
                <c:pt idx="10">
                  <c:v>1.1752636398565572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7-404E-938B-6389AD3013CE}"/>
            </c:ext>
          </c:extLst>
        </c:ser>
        <c:ser>
          <c:idx val="1"/>
          <c:order val="1"/>
          <c:tx>
            <c:v>Kältmaschinen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Auswertung_PUE!$A$42:$A$52</c:f>
              <c:numCache>
                <c:formatCode>#.#0\°</c:formatCode>
                <c:ptCount val="1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</c:numCache>
            </c:numRef>
          </c:cat>
          <c:val>
            <c:numRef>
              <c:f>Auswertung_PUE!$H$42:$H$52</c:f>
              <c:numCache>
                <c:formatCode>General</c:formatCode>
                <c:ptCount val="11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97-404E-938B-6389AD3013CE}"/>
            </c:ext>
          </c:extLst>
        </c:ser>
        <c:ser>
          <c:idx val="2"/>
          <c:order val="2"/>
          <c:tx>
            <c:strRef>
              <c:f>Auswertung_PUE!$F$41</c:f>
              <c:strCache>
                <c:ptCount val="1"/>
                <c:pt idx="0">
                  <c:v>+ ∆𝜀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Auswertung_PUE!$A$42:$A$52</c:f>
              <c:numCache>
                <c:formatCode>#.#0\°</c:formatCode>
                <c:ptCount val="1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</c:numCache>
            </c:numRef>
          </c:cat>
          <c:val>
            <c:numRef>
              <c:f>Auswertung_PUE!$F$42:$F$52</c:f>
              <c:numCache>
                <c:formatCode>0.0000</c:formatCode>
                <c:ptCount val="11"/>
                <c:pt idx="0">
                  <c:v>1.2189948770491803</c:v>
                </c:pt>
                <c:pt idx="1">
                  <c:v>1.2139784836065575</c:v>
                </c:pt>
                <c:pt idx="2">
                  <c:v>1.2096239754098361</c:v>
                </c:pt>
                <c:pt idx="3">
                  <c:v>1.205983606557377</c:v>
                </c:pt>
                <c:pt idx="4">
                  <c:v>1.2033883196721311</c:v>
                </c:pt>
                <c:pt idx="5">
                  <c:v>1.200827868852459</c:v>
                </c:pt>
                <c:pt idx="6">
                  <c:v>1.198702868852459</c:v>
                </c:pt>
                <c:pt idx="7">
                  <c:v>1.1966997950819671</c:v>
                </c:pt>
                <c:pt idx="8">
                  <c:v>1.1956024590163934</c:v>
                </c:pt>
                <c:pt idx="9">
                  <c:v>1.1948012295081967</c:v>
                </c:pt>
                <c:pt idx="10">
                  <c:v>1.1943657786885247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97-404E-938B-6389AD3013CE}"/>
            </c:ext>
          </c:extLst>
        </c:ser>
        <c:ser>
          <c:idx val="3"/>
          <c:order val="3"/>
          <c:tx>
            <c:strRef>
              <c:f>Auswertung_PUE!$G$41</c:f>
              <c:strCache>
                <c:ptCount val="1"/>
                <c:pt idx="0">
                  <c:v> - ∆𝜀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Auswertung_PUE!$A$42:$A$52</c:f>
              <c:numCache>
                <c:formatCode>#.#0\°</c:formatCode>
                <c:ptCount val="1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</c:numCache>
            </c:numRef>
          </c:cat>
          <c:val>
            <c:numRef>
              <c:f>Auswertung_PUE!$G$42:$G$52</c:f>
              <c:numCache>
                <c:formatCode>0.0000</c:formatCode>
                <c:ptCount val="11"/>
                <c:pt idx="0">
                  <c:v>1.1838692366803278</c:v>
                </c:pt>
                <c:pt idx="1">
                  <c:v>1.178225794057377</c:v>
                </c:pt>
                <c:pt idx="2">
                  <c:v>1.1733269723360655</c:v>
                </c:pt>
                <c:pt idx="3">
                  <c:v>1.1692315573770491</c:v>
                </c:pt>
                <c:pt idx="4">
                  <c:v>1.1663118596311475</c:v>
                </c:pt>
                <c:pt idx="5">
                  <c:v>1.1634313524590163</c:v>
                </c:pt>
                <c:pt idx="6">
                  <c:v>1.1610407274590164</c:v>
                </c:pt>
                <c:pt idx="7">
                  <c:v>1.1587872694672132</c:v>
                </c:pt>
                <c:pt idx="8">
                  <c:v>1.1575527663934426</c:v>
                </c:pt>
                <c:pt idx="9">
                  <c:v>1.1566513831967213</c:v>
                </c:pt>
                <c:pt idx="10">
                  <c:v>1.1561615010245903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97-404E-938B-6389AD301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5319983"/>
        <c:axId val="1295323343"/>
      </c:lineChart>
      <c:catAx>
        <c:axId val="1295319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/>
                  <a:t>Serverraumtemperatur</a:t>
                </a:r>
              </a:p>
            </c:rich>
          </c:tx>
          <c:layout>
            <c:manualLayout>
              <c:xMode val="edge"/>
              <c:yMode val="edge"/>
              <c:x val="0.45670134914115962"/>
              <c:y val="0.867758446808420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.#0\°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295323343"/>
        <c:crosses val="autoZero"/>
        <c:auto val="1"/>
        <c:lblAlgn val="ctr"/>
        <c:lblOffset val="100"/>
        <c:noMultiLvlLbl val="0"/>
      </c:catAx>
      <c:valAx>
        <c:axId val="1295323343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/>
                  <a:t>PUE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295319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098471545951425"/>
          <c:y val="0.92325999252100033"/>
          <c:w val="0.79803056908097147"/>
          <c:h val="5.35733504397712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290513</xdr:colOff>
          <xdr:row>7</xdr:row>
          <xdr:rowOff>9525</xdr:rowOff>
        </xdr:from>
        <xdr:to>
          <xdr:col>5</xdr:col>
          <xdr:colOff>61913</xdr:colOff>
          <xdr:row>8</xdr:row>
          <xdr:rowOff>142875</xdr:rowOff>
        </xdr:to>
        <xdr:sp macro="" textlink="">
          <xdr:nvSpPr>
            <xdr:cNvPr id="1025" name="CBox_Datei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16</xdr:row>
          <xdr:rowOff>123825</xdr:rowOff>
        </xdr:from>
        <xdr:to>
          <xdr:col>3</xdr:col>
          <xdr:colOff>366713</xdr:colOff>
          <xdr:row>18</xdr:row>
          <xdr:rowOff>142875</xdr:rowOff>
        </xdr:to>
        <xdr:sp macro="" textlink="">
          <xdr:nvSpPr>
            <xdr:cNvPr id="1026" name="CButton_Auswerte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11</xdr:row>
          <xdr:rowOff>138113</xdr:rowOff>
        </xdr:from>
        <xdr:to>
          <xdr:col>1</xdr:col>
          <xdr:colOff>738188</xdr:colOff>
          <xdr:row>13</xdr:row>
          <xdr:rowOff>52388</xdr:rowOff>
        </xdr:to>
        <xdr:sp macro="" textlink="">
          <xdr:nvSpPr>
            <xdr:cNvPr id="1035" name="TBox_Vo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11</xdr:row>
          <xdr:rowOff>128588</xdr:rowOff>
        </xdr:from>
        <xdr:to>
          <xdr:col>2</xdr:col>
          <xdr:colOff>23813</xdr:colOff>
          <xdr:row>13</xdr:row>
          <xdr:rowOff>76200</xdr:rowOff>
        </xdr:to>
        <xdr:sp macro="" textlink="">
          <xdr:nvSpPr>
            <xdr:cNvPr id="1036" name="SpinB_V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709613</xdr:colOff>
          <xdr:row>11</xdr:row>
          <xdr:rowOff>123825</xdr:rowOff>
        </xdr:from>
        <xdr:to>
          <xdr:col>5</xdr:col>
          <xdr:colOff>0</xdr:colOff>
          <xdr:row>13</xdr:row>
          <xdr:rowOff>66675</xdr:rowOff>
        </xdr:to>
        <xdr:sp macro="" textlink="">
          <xdr:nvSpPr>
            <xdr:cNvPr id="1037" name="SpinB_Bi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509588</xdr:colOff>
          <xdr:row>11</xdr:row>
          <xdr:rowOff>128588</xdr:rowOff>
        </xdr:from>
        <xdr:to>
          <xdr:col>4</xdr:col>
          <xdr:colOff>723900</xdr:colOff>
          <xdr:row>13</xdr:row>
          <xdr:rowOff>61913</xdr:rowOff>
        </xdr:to>
        <xdr:sp macro="" textlink="">
          <xdr:nvSpPr>
            <xdr:cNvPr id="1038" name="TBox_Bi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327772</xdr:colOff>
      <xdr:row>4</xdr:row>
      <xdr:rowOff>87754</xdr:rowOff>
    </xdr:from>
    <xdr:to>
      <xdr:col>13</xdr:col>
      <xdr:colOff>80729</xdr:colOff>
      <xdr:row>23</xdr:row>
      <xdr:rowOff>109402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F7E30076-73D4-4710-9F81-17BD631CE5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133145</xdr:colOff>
      <xdr:row>4</xdr:row>
      <xdr:rowOff>101212</xdr:rowOff>
    </xdr:from>
    <xdr:to>
      <xdr:col>6</xdr:col>
      <xdr:colOff>614517</xdr:colOff>
      <xdr:row>23</xdr:row>
      <xdr:rowOff>113942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2A9E3BE7-2E07-4ACB-BD49-E2437C8CB9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174770</xdr:rowOff>
    </xdr:from>
    <xdr:to>
      <xdr:col>7</xdr:col>
      <xdr:colOff>616</xdr:colOff>
      <xdr:row>8</xdr:row>
      <xdr:rowOff>64375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feld 13">
              <a:extLst>
                <a:ext uri="{FF2B5EF4-FFF2-40B4-BE49-F238E27FC236}">
                  <a16:creationId xmlns:a16="http://schemas.microsoft.com/office/drawing/2014/main" id="{B5ADAA24-085D-4380-9CB2-F67694199D55}"/>
                </a:ext>
              </a:extLst>
            </xdr:cNvPr>
            <xdr:cNvSpPr txBox="1"/>
          </xdr:nvSpPr>
          <xdr:spPr>
            <a:xfrm>
              <a:off x="0" y="943761"/>
              <a:ext cx="5890387" cy="588687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de-DE"/>
              </a:defPPr>
              <a:lvl1pPr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1pPr>
              <a:lvl2pPr marL="60963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2pPr>
              <a:lvl3pPr marL="1219261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3pPr>
              <a:lvl4pPr marL="1828891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4pPr>
              <a:lvl5pPr marL="2438522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5pPr>
              <a:lvl6pPr marL="3048152" algn="l" defTabSz="1219261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6pPr>
              <a:lvl7pPr marL="3657783" algn="l" defTabSz="1219261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7pPr>
              <a:lvl8pPr marL="4267413" algn="l" defTabSz="1219261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8pPr>
              <a:lvl9pPr marL="4877044" algn="l" defTabSz="1219261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̃"/>
                        <m:ctrlPr>
                          <a:rPr lang="de-DE" sz="1400" b="1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de-DE" sz="1400" b="1" i="1">
                            <a:latin typeface="Cambria Math" panose="02040503050406030204" pitchFamily="18" charset="0"/>
                          </a:rPr>
                          <m:t>𝑷𝑼𝑬</m:t>
                        </m:r>
                      </m:e>
                    </m:acc>
                    <m:r>
                      <a:rPr lang="de-DE" sz="1400" b="1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400" b="1" i="1">
                        <a:latin typeface="Cambria Math" panose="02040503050406030204" pitchFamily="18" charset="0"/>
                      </a:rPr>
                      <m:t>𝑷𝑼𝑬</m:t>
                    </m:r>
                    <m:r>
                      <a:rPr lang="de-DE" sz="1400" b="1" i="1">
                        <a:latin typeface="Cambria Math" panose="02040503050406030204" pitchFamily="18" charset="0"/>
                      </a:rPr>
                      <m:t>+ </m:t>
                    </m:r>
                    <m:f>
                      <m:fPr>
                        <m:ctrlPr>
                          <a:rPr lang="de-DE" sz="14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de-DE" sz="1200" b="1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de-DE" sz="1200" b="1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𝝌</m:t>
                            </m:r>
                          </m:e>
                          <m:sub>
                            <m:r>
                              <a:rPr lang="de-DE" sz="1200" b="1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𝑲</m:t>
                            </m:r>
                            <m:r>
                              <a:rPr lang="de-DE" sz="1200" b="1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ü</m:t>
                            </m:r>
                            <m:r>
                              <a:rPr lang="de-DE" sz="1200" b="1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𝒉𝒍𝒖𝒏𝒈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de-DE" sz="14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DE" sz="14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𝝌</m:t>
                            </m:r>
                          </m:e>
                          <m:sub>
                            <m:r>
                              <a:rPr lang="de-DE" sz="1400" b="1" i="1">
                                <a:latin typeface="Cambria Math" panose="02040503050406030204" pitchFamily="18" charset="0"/>
                              </a:rPr>
                              <m:t>𝑰𝑻</m:t>
                            </m:r>
                            <m:r>
                              <a:rPr lang="de-DE" sz="1400" b="1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de-DE" sz="1400" b="1" i="1">
                                <a:latin typeface="Cambria Math" panose="02040503050406030204" pitchFamily="18" charset="0"/>
                              </a:rPr>
                              <m:t>𝑮𝒆𝒓</m:t>
                            </m:r>
                            <m:r>
                              <a:rPr lang="de-DE" sz="1400" b="1" i="1">
                                <a:latin typeface="Cambria Math" panose="02040503050406030204" pitchFamily="18" charset="0"/>
                              </a:rPr>
                              <m:t>ä</m:t>
                            </m:r>
                            <m:r>
                              <a:rPr lang="de-DE" sz="1400" b="1" i="1">
                                <a:latin typeface="Cambria Math" panose="02040503050406030204" pitchFamily="18" charset="0"/>
                              </a:rPr>
                              <m:t>𝒕𝒆</m:t>
                            </m:r>
                          </m:sub>
                        </m:sSub>
                      </m:den>
                    </m:f>
                    <m:r>
                      <a:rPr lang="de-DE" sz="14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de-DE" sz="14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 </m:t>
                    </m:r>
                    <m:d>
                      <m:dPr>
                        <m:ctrlPr>
                          <a:rPr lang="de-DE" sz="14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de-DE" sz="14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de-DE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</a:rPr>
                                  <m:t>𝒕</m:t>
                                </m:r>
                              </m:e>
                              <m:sub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𝒇𝒓𝒆𝒊𝒆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𝑲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ü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𝒉𝒍𝒖𝒏𝒈</m:t>
                                </m:r>
                              </m:sub>
                            </m:sSub>
                            <m:r>
                              <a:rPr lang="de-DE" sz="14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 </m:t>
                            </m:r>
                            <m:r>
                              <a:rPr lang="de-DE" sz="14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𝜺</m:t>
                            </m:r>
                            <m:sSub>
                              <m:sSubPr>
                                <m:ctrlPr>
                                  <a:rPr lang="de-DE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</a:rPr>
                                  <m:t>+ 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</a:rPr>
                                  <m:t>𝒕</m:t>
                                </m:r>
                              </m:e>
                              <m:sub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𝒎𝒆𝒄𝒉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.  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𝑲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ü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𝒉𝒍𝒖𝒏𝒈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de-DE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</a:rPr>
                                  <m:t>𝒕</m:t>
                                </m:r>
                              </m:e>
                              <m:sub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𝒈𝒂𝒏𝒛𝒆𝒔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a:rPr lang="de-DE" sz="14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𝑱𝒂𝒉𝒓</m:t>
                                </m:r>
                              </m:sub>
                            </m:sSub>
                          </m:den>
                        </m:f>
                        <m:r>
                          <a:rPr lang="de-DE" sz="14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−</m:t>
                        </m:r>
                        <m:r>
                          <a:rPr lang="de-DE" sz="14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e>
                    </m:d>
                  </m:oMath>
                </m:oMathPara>
              </a14:m>
              <a:endParaRPr lang="de-DE" sz="2400" b="1"/>
            </a:p>
          </xdr:txBody>
        </xdr:sp>
      </mc:Choice>
      <mc:Fallback>
        <xdr:sp macro="" textlink="">
          <xdr:nvSpPr>
            <xdr:cNvPr id="2" name="Textfeld 13">
              <a:extLst>
                <a:ext uri="{FF2B5EF4-FFF2-40B4-BE49-F238E27FC236}">
                  <a16:creationId xmlns:a16="http://schemas.microsoft.com/office/drawing/2014/main" id="{B5ADAA24-085D-4380-9CB2-F67694199D55}"/>
                </a:ext>
              </a:extLst>
            </xdr:cNvPr>
            <xdr:cNvSpPr txBox="1"/>
          </xdr:nvSpPr>
          <xdr:spPr>
            <a:xfrm>
              <a:off x="0" y="943761"/>
              <a:ext cx="5890387" cy="588687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de-DE"/>
              </a:defPPr>
              <a:lvl1pPr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1pPr>
              <a:lvl2pPr marL="609630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2pPr>
              <a:lvl3pPr marL="1219261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3pPr>
              <a:lvl4pPr marL="1828891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4pPr>
              <a:lvl5pPr marL="2438522" algn="l" rtl="0" eaLnBrk="0" fontAlgn="base" hangingPunct="0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5pPr>
              <a:lvl6pPr marL="3048152" algn="l" defTabSz="1219261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6pPr>
              <a:lvl7pPr marL="3657783" algn="l" defTabSz="1219261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7pPr>
              <a:lvl8pPr marL="4267413" algn="l" defTabSz="1219261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8pPr>
              <a:lvl9pPr marL="4877044" algn="l" defTabSz="1219261" rtl="0" eaLnBrk="1" latinLnBrk="0" hangingPunct="1">
                <a:defRPr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+mn-cs"/>
                </a:defRPr>
              </a:lvl9pPr>
            </a:lstStyle>
            <a:p>
              <a:pPr/>
              <a:r>
                <a:rPr lang="de-DE" sz="1400" b="1" i="0">
                  <a:latin typeface="Cambria Math" panose="02040503050406030204" pitchFamily="18" charset="0"/>
                </a:rPr>
                <a:t>(𝑷𝑼𝑬) ̃=𝑷𝑼𝑬+ </a:t>
              </a:r>
              <a:r>
                <a:rPr lang="de-DE" sz="1200" b="1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𝝌_𝑲ü𝒉𝒍𝒖𝒏𝒈</a:t>
              </a:r>
              <a:r>
                <a:rPr lang="de-DE" sz="1400" b="1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de-DE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𝝌_(</a:t>
              </a:r>
              <a:r>
                <a:rPr lang="de-DE" sz="1400" b="1" i="0">
                  <a:latin typeface="Cambria Math" panose="02040503050406030204" pitchFamily="18" charset="0"/>
                </a:rPr>
                <a:t>𝑰𝑻−𝑮𝒆𝒓ä𝒕𝒆)   </a:t>
              </a:r>
              <a:r>
                <a:rPr lang="de-DE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∙ ((</a:t>
              </a:r>
              <a:r>
                <a:rPr lang="de-DE" sz="1400" b="1" i="0">
                  <a:latin typeface="Cambria Math" panose="02040503050406030204" pitchFamily="18" charset="0"/>
                </a:rPr>
                <a:t>𝒕_(</a:t>
              </a:r>
              <a:r>
                <a:rPr lang="de-DE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𝒇𝒓𝒆𝒊𝒆 𝑲ü𝒉𝒍𝒖𝒏𝒈)∙ 𝜺〖</a:t>
              </a:r>
              <a:r>
                <a:rPr lang="de-DE" sz="1400" b="1" i="0">
                  <a:latin typeface="Cambria Math" panose="02040503050406030204" pitchFamily="18" charset="0"/>
                </a:rPr>
                <a:t>+ 𝒕〗_(</a:t>
              </a:r>
              <a:r>
                <a:rPr lang="de-DE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𝒎𝒆𝒄𝒉.  𝑲ü𝒉𝒍𝒖𝒏𝒈))/</a:t>
              </a:r>
              <a:r>
                <a:rPr lang="de-DE" sz="1400" b="1" i="0">
                  <a:latin typeface="Cambria Math" panose="02040503050406030204" pitchFamily="18" charset="0"/>
                </a:rPr>
                <a:t>𝒕_(</a:t>
              </a:r>
              <a:r>
                <a:rPr lang="de-DE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𝒈𝒂𝒏𝒛𝒆𝒔 𝑱𝒂𝒉𝒓)   −𝟏)</a:t>
              </a:r>
              <a:endParaRPr lang="de-DE" sz="2400" b="1"/>
            </a:p>
          </xdr:txBody>
        </xdr:sp>
      </mc:Fallback>
    </mc:AlternateContent>
    <xdr:clientData/>
  </xdr:twoCellAnchor>
  <xdr:oneCellAnchor>
    <xdr:from>
      <xdr:col>4</xdr:col>
      <xdr:colOff>121920</xdr:colOff>
      <xdr:row>11</xdr:row>
      <xdr:rowOff>157267</xdr:rowOff>
    </xdr:from>
    <xdr:ext cx="624979" cy="1737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F9C00265-CA1D-4CDC-91A3-5FF6A33A14DE}"/>
                </a:ext>
              </a:extLst>
            </xdr:cNvPr>
            <xdr:cNvSpPr txBox="1"/>
          </xdr:nvSpPr>
          <xdr:spPr>
            <a:xfrm>
              <a:off x="3535680" y="2130847"/>
              <a:ext cx="624979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𝐼𝑇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𝐺𝑒𝑟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ä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𝑡𝑒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F9C00265-CA1D-4CDC-91A3-5FF6A33A14DE}"/>
                </a:ext>
              </a:extLst>
            </xdr:cNvPr>
            <xdr:cNvSpPr txBox="1"/>
          </xdr:nvSpPr>
          <xdr:spPr>
            <a:xfrm>
              <a:off x="3535680" y="2130847"/>
              <a:ext cx="624979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𝜒_(</a:t>
              </a:r>
              <a:r>
                <a:rPr lang="de-DE" sz="1100" b="0" i="0">
                  <a:latin typeface="Cambria Math" panose="02040503050406030204" pitchFamily="18" charset="0"/>
                </a:rPr>
                <a:t>𝐼𝑇−𝐺𝑒𝑟ä𝑡𝑒)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115571</xdr:colOff>
      <xdr:row>12</xdr:row>
      <xdr:rowOff>170815</xdr:rowOff>
    </xdr:from>
    <xdr:ext cx="546175" cy="182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94D7343A-01D7-4B7B-B04F-28674C1171B8}"/>
                </a:ext>
              </a:extLst>
            </xdr:cNvPr>
            <xdr:cNvSpPr txBox="1"/>
          </xdr:nvSpPr>
          <xdr:spPr>
            <a:xfrm>
              <a:off x="3529331" y="2319655"/>
              <a:ext cx="546175" cy="182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𝐾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ü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h𝑙𝑢𝑛𝑔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94D7343A-01D7-4B7B-B04F-28674C1171B8}"/>
                </a:ext>
              </a:extLst>
            </xdr:cNvPr>
            <xdr:cNvSpPr txBox="1"/>
          </xdr:nvSpPr>
          <xdr:spPr>
            <a:xfrm>
              <a:off x="3529331" y="2319655"/>
              <a:ext cx="546175" cy="182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de-DE" sz="1100" b="0" i="0">
                  <a:latin typeface="Cambria Math" panose="02040503050406030204" pitchFamily="18" charset="0"/>
                </a:rPr>
                <a:t>𝐾üℎ𝑙𝑢𝑛𝑔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121920</xdr:colOff>
      <xdr:row>11</xdr:row>
      <xdr:rowOff>157267</xdr:rowOff>
    </xdr:from>
    <xdr:ext cx="624979" cy="1737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FE648B4B-0FDF-4330-9AE8-8ECEAF54163F}"/>
                </a:ext>
              </a:extLst>
            </xdr:cNvPr>
            <xdr:cNvSpPr txBox="1"/>
          </xdr:nvSpPr>
          <xdr:spPr>
            <a:xfrm>
              <a:off x="3552825" y="2092747"/>
              <a:ext cx="624979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𝐼𝑇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𝐺𝑒𝑟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ä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𝑡𝑒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FE648B4B-0FDF-4330-9AE8-8ECEAF54163F}"/>
                </a:ext>
              </a:extLst>
            </xdr:cNvPr>
            <xdr:cNvSpPr txBox="1"/>
          </xdr:nvSpPr>
          <xdr:spPr>
            <a:xfrm>
              <a:off x="3552825" y="2092747"/>
              <a:ext cx="624979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𝜒_(</a:t>
              </a:r>
              <a:r>
                <a:rPr lang="de-DE" sz="1100" b="0" i="0">
                  <a:latin typeface="Cambria Math" panose="02040503050406030204" pitchFamily="18" charset="0"/>
                </a:rPr>
                <a:t>𝐼𝑇−𝐺𝑒𝑟ä𝑡𝑒)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115571</xdr:colOff>
      <xdr:row>12</xdr:row>
      <xdr:rowOff>170815</xdr:rowOff>
    </xdr:from>
    <xdr:ext cx="546175" cy="182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6179E797-6E36-46F3-98E9-988BE4812594}"/>
                </a:ext>
              </a:extLst>
            </xdr:cNvPr>
            <xdr:cNvSpPr txBox="1"/>
          </xdr:nvSpPr>
          <xdr:spPr>
            <a:xfrm>
              <a:off x="3544571" y="2279650"/>
              <a:ext cx="546175" cy="182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𝐾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ü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h𝑙𝑢𝑛𝑔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6179E797-6E36-46F3-98E9-988BE4812594}"/>
                </a:ext>
              </a:extLst>
            </xdr:cNvPr>
            <xdr:cNvSpPr txBox="1"/>
          </xdr:nvSpPr>
          <xdr:spPr>
            <a:xfrm>
              <a:off x="3544571" y="2279650"/>
              <a:ext cx="546175" cy="182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de-DE" sz="1100" b="0" i="0">
                  <a:latin typeface="Cambria Math" panose="02040503050406030204" pitchFamily="18" charset="0"/>
                </a:rPr>
                <a:t>𝐾üℎ𝑙𝑢𝑛𝑔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121920</xdr:colOff>
      <xdr:row>11</xdr:row>
      <xdr:rowOff>157267</xdr:rowOff>
    </xdr:from>
    <xdr:ext cx="624979" cy="1737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7A053FB8-650E-431F-90EB-8918CE4E0CA6}"/>
                </a:ext>
              </a:extLst>
            </xdr:cNvPr>
            <xdr:cNvSpPr txBox="1"/>
          </xdr:nvSpPr>
          <xdr:spPr>
            <a:xfrm>
              <a:off x="3552825" y="2092747"/>
              <a:ext cx="624979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𝐼𝑇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𝐺𝑒𝑟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ä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𝑡𝑒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7A053FB8-650E-431F-90EB-8918CE4E0CA6}"/>
                </a:ext>
              </a:extLst>
            </xdr:cNvPr>
            <xdr:cNvSpPr txBox="1"/>
          </xdr:nvSpPr>
          <xdr:spPr>
            <a:xfrm>
              <a:off x="3552825" y="2092747"/>
              <a:ext cx="624979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𝜒_(</a:t>
              </a:r>
              <a:r>
                <a:rPr lang="de-DE" sz="1100" b="0" i="0">
                  <a:latin typeface="Cambria Math" panose="02040503050406030204" pitchFamily="18" charset="0"/>
                </a:rPr>
                <a:t>𝐼𝑇−𝐺𝑒𝑟ä𝑡𝑒)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115571</xdr:colOff>
      <xdr:row>12</xdr:row>
      <xdr:rowOff>170815</xdr:rowOff>
    </xdr:from>
    <xdr:ext cx="546175" cy="182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63A96C89-0F25-4E63-827C-0512818701D5}"/>
                </a:ext>
              </a:extLst>
            </xdr:cNvPr>
            <xdr:cNvSpPr txBox="1"/>
          </xdr:nvSpPr>
          <xdr:spPr>
            <a:xfrm>
              <a:off x="3544571" y="2279650"/>
              <a:ext cx="546175" cy="182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𝐾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ü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h𝑙𝑢𝑛𝑔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63A96C89-0F25-4E63-827C-0512818701D5}"/>
                </a:ext>
              </a:extLst>
            </xdr:cNvPr>
            <xdr:cNvSpPr txBox="1"/>
          </xdr:nvSpPr>
          <xdr:spPr>
            <a:xfrm>
              <a:off x="3544571" y="2279650"/>
              <a:ext cx="546175" cy="182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de-DE" sz="1100" b="0" i="0">
                  <a:latin typeface="Cambria Math" panose="02040503050406030204" pitchFamily="18" charset="0"/>
                </a:rPr>
                <a:t>𝐾üℎ𝑙𝑢𝑛𝑔</a:t>
              </a:r>
              <a:endParaRPr lang="de-DE" sz="1100"/>
            </a:p>
          </xdr:txBody>
        </xdr:sp>
      </mc:Fallback>
    </mc:AlternateContent>
    <xdr:clientData/>
  </xdr:oneCellAnchor>
  <xdr:twoCellAnchor>
    <xdr:from>
      <xdr:col>0</xdr:col>
      <xdr:colOff>144186</xdr:colOff>
      <xdr:row>18</xdr:row>
      <xdr:rowOff>46572</xdr:rowOff>
    </xdr:from>
    <xdr:to>
      <xdr:col>5</xdr:col>
      <xdr:colOff>519350</xdr:colOff>
      <xdr:row>37</xdr:row>
      <xdr:rowOff>126709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B7544316-8090-4718-AD32-CB6C5847A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BayLfSt">
      <a:dk1>
        <a:sysClr val="windowText" lastClr="000000"/>
      </a:dk1>
      <a:lt1>
        <a:srgbClr val="FFFFFF"/>
      </a:lt1>
      <a:dk2>
        <a:srgbClr val="B2B2B2"/>
      </a:dk2>
      <a:lt2>
        <a:srgbClr val="FFFFFF"/>
      </a:lt2>
      <a:accent1>
        <a:srgbClr val="004868"/>
      </a:accent1>
      <a:accent2>
        <a:srgbClr val="EB8500"/>
      </a:accent2>
      <a:accent3>
        <a:srgbClr val="777777"/>
      </a:accent3>
      <a:accent4>
        <a:srgbClr val="446699"/>
      </a:accent4>
      <a:accent5>
        <a:srgbClr val="B2B2B2"/>
      </a:accent5>
      <a:accent6>
        <a:srgbClr val="FFC971"/>
      </a:accent6>
      <a:hlink>
        <a:srgbClr val="004868"/>
      </a:hlink>
      <a:folHlink>
        <a:srgbClr val="446699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4BDE9-D15C-4A00-9CE8-0CFD6478FAD5}">
  <sheetPr codeName="Tabelle1"/>
  <dimension ref="A1:M15"/>
  <sheetViews>
    <sheetView zoomScale="120" zoomScaleNormal="120" workbookViewId="0">
      <selection activeCell="G14" sqref="G14"/>
    </sheetView>
  </sheetViews>
  <sheetFormatPr baseColWidth="10" defaultRowHeight="13.5" x14ac:dyDescent="0.35"/>
  <sheetData>
    <row r="1" spans="1:13" ht="17.649999999999999" x14ac:dyDescent="0.5">
      <c r="A1" s="1" t="s">
        <v>29</v>
      </c>
      <c r="B1" s="1"/>
      <c r="C1" s="1"/>
      <c r="D1" s="1"/>
      <c r="E1" s="1"/>
      <c r="F1" s="1"/>
      <c r="G1" s="1"/>
      <c r="H1" s="10"/>
      <c r="I1" s="10"/>
      <c r="J1" s="10"/>
      <c r="K1" s="10"/>
      <c r="L1" s="10"/>
      <c r="M1" s="10"/>
    </row>
    <row r="2" spans="1:13" ht="13.9" x14ac:dyDescent="0.4">
      <c r="A2" s="2"/>
      <c r="B2" s="3"/>
      <c r="C2" s="3"/>
      <c r="D2" s="3"/>
      <c r="E2" s="3"/>
      <c r="F2" s="3"/>
      <c r="G2" s="3"/>
    </row>
    <row r="4" spans="1:13" ht="13.9" x14ac:dyDescent="0.4">
      <c r="A4" s="4" t="s">
        <v>0</v>
      </c>
      <c r="B4" s="4"/>
      <c r="C4" s="4"/>
      <c r="D4" s="4"/>
      <c r="E4" s="4"/>
      <c r="F4" s="4"/>
      <c r="G4" s="4"/>
      <c r="H4" s="5"/>
      <c r="I4" s="5"/>
      <c r="J4" s="5"/>
      <c r="K4" s="5"/>
      <c r="L4" s="5"/>
      <c r="M4" s="5"/>
    </row>
    <row r="5" spans="1:13" ht="13.9" x14ac:dyDescent="0.4">
      <c r="A5" s="5"/>
      <c r="B5" s="5"/>
      <c r="C5" s="5"/>
      <c r="D5" s="5"/>
      <c r="E5" s="5"/>
      <c r="F5" s="5"/>
      <c r="G5" s="5"/>
      <c r="H5" s="5"/>
      <c r="I5" s="5"/>
    </row>
    <row r="6" spans="1:13" ht="13.9" x14ac:dyDescent="0.4">
      <c r="A6" s="6" t="s">
        <v>18</v>
      </c>
      <c r="B6" s="5"/>
      <c r="C6" s="5"/>
      <c r="D6" s="5"/>
      <c r="E6" s="5"/>
      <c r="F6" s="5"/>
      <c r="G6" s="5"/>
      <c r="H6" s="5"/>
      <c r="I6" s="5"/>
    </row>
    <row r="7" spans="1:13" ht="13.9" x14ac:dyDescent="0.4">
      <c r="A7" s="5"/>
      <c r="B7" s="5"/>
      <c r="C7" s="5"/>
      <c r="D7" s="5"/>
      <c r="E7" s="5"/>
      <c r="F7" s="5"/>
      <c r="G7" s="5"/>
      <c r="H7" s="5"/>
      <c r="I7" s="5"/>
    </row>
    <row r="8" spans="1:13" ht="13.9" x14ac:dyDescent="0.4">
      <c r="A8" s="7"/>
      <c r="B8" s="5"/>
      <c r="C8" s="5"/>
      <c r="D8" s="5"/>
      <c r="E8" s="5"/>
      <c r="F8" s="5"/>
      <c r="G8" s="5"/>
      <c r="H8" s="5"/>
      <c r="I8" s="5"/>
    </row>
    <row r="11" spans="1:13" ht="13.8" customHeight="1" x14ac:dyDescent="0.4">
      <c r="A11" s="8" t="s">
        <v>17</v>
      </c>
    </row>
    <row r="13" spans="1:13" ht="13.8" customHeight="1" x14ac:dyDescent="0.4">
      <c r="A13" s="6" t="s">
        <v>1</v>
      </c>
      <c r="C13" s="9" t="s">
        <v>3</v>
      </c>
      <c r="D13" s="6" t="s">
        <v>2</v>
      </c>
      <c r="F13" s="9" t="s">
        <v>3</v>
      </c>
    </row>
    <row r="15" spans="1:13" ht="13.8" customHeight="1" x14ac:dyDescent="0.35">
      <c r="A15" s="49" t="s">
        <v>3</v>
      </c>
      <c r="B15" t="s">
        <v>28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Box_Datei">
          <controlPr defaultSize="0" autoLine="0" autoPict="0" r:id="rId5">
            <anchor moveWithCells="1">
              <from>
                <xdr:col>0</xdr:col>
                <xdr:colOff>290513</xdr:colOff>
                <xdr:row>7</xdr:row>
                <xdr:rowOff>9525</xdr:rowOff>
              </from>
              <to>
                <xdr:col>5</xdr:col>
                <xdr:colOff>61913</xdr:colOff>
                <xdr:row>8</xdr:row>
                <xdr:rowOff>142875</xdr:rowOff>
              </to>
            </anchor>
          </controlPr>
        </control>
      </mc:Choice>
      <mc:Fallback>
        <control shapeId="1025" r:id="rId4" name="CBox_Datei"/>
      </mc:Fallback>
    </mc:AlternateContent>
    <mc:AlternateContent xmlns:mc="http://schemas.openxmlformats.org/markup-compatibility/2006">
      <mc:Choice Requires="x14">
        <control shapeId="1026" r:id="rId6" name="CButton_Auswerten">
          <controlPr defaultSize="0" autoLine="0" r:id="rId7">
            <anchor moveWithCells="1">
              <from>
                <xdr:col>1</xdr:col>
                <xdr:colOff>447675</xdr:colOff>
                <xdr:row>16</xdr:row>
                <xdr:rowOff>123825</xdr:rowOff>
              </from>
              <to>
                <xdr:col>3</xdr:col>
                <xdr:colOff>400050</xdr:colOff>
                <xdr:row>18</xdr:row>
                <xdr:rowOff>142875</xdr:rowOff>
              </to>
            </anchor>
          </controlPr>
        </control>
      </mc:Choice>
      <mc:Fallback>
        <control shapeId="1026" r:id="rId6" name="CButton_Auswerten"/>
      </mc:Fallback>
    </mc:AlternateContent>
    <mc:AlternateContent xmlns:mc="http://schemas.openxmlformats.org/markup-compatibility/2006">
      <mc:Choice Requires="x14">
        <control shapeId="1035" r:id="rId8" name="TBox_Von">
          <controlPr defaultSize="0" autoLine="0" autoPict="0" r:id="rId9">
            <anchor moveWithCells="1">
              <from>
                <xdr:col>0</xdr:col>
                <xdr:colOff>523875</xdr:colOff>
                <xdr:row>11</xdr:row>
                <xdr:rowOff>138113</xdr:rowOff>
              </from>
              <to>
                <xdr:col>1</xdr:col>
                <xdr:colOff>738188</xdr:colOff>
                <xdr:row>13</xdr:row>
                <xdr:rowOff>52388</xdr:rowOff>
              </to>
            </anchor>
          </controlPr>
        </control>
      </mc:Choice>
      <mc:Fallback>
        <control shapeId="1035" r:id="rId8" name="TBox_Von"/>
      </mc:Fallback>
    </mc:AlternateContent>
    <mc:AlternateContent xmlns:mc="http://schemas.openxmlformats.org/markup-compatibility/2006">
      <mc:Choice Requires="x14">
        <control shapeId="1036" r:id="rId10" name="SpinB_Von">
          <controlPr defaultSize="0" autoLine="0" r:id="rId11">
            <anchor moveWithCells="1">
              <from>
                <xdr:col>1</xdr:col>
                <xdr:colOff>723900</xdr:colOff>
                <xdr:row>11</xdr:row>
                <xdr:rowOff>128588</xdr:rowOff>
              </from>
              <to>
                <xdr:col>2</xdr:col>
                <xdr:colOff>38100</xdr:colOff>
                <xdr:row>13</xdr:row>
                <xdr:rowOff>71438</xdr:rowOff>
              </to>
            </anchor>
          </controlPr>
        </control>
      </mc:Choice>
      <mc:Fallback>
        <control shapeId="1036" r:id="rId10" name="SpinB_Von"/>
      </mc:Fallback>
    </mc:AlternateContent>
    <mc:AlternateContent xmlns:mc="http://schemas.openxmlformats.org/markup-compatibility/2006">
      <mc:Choice Requires="x14">
        <control shapeId="1037" r:id="rId12" name="SpinB_Bis">
          <controlPr defaultSize="0" autoLine="0" r:id="rId11">
            <anchor moveWithCells="1">
              <from>
                <xdr:col>4</xdr:col>
                <xdr:colOff>709613</xdr:colOff>
                <xdr:row>11</xdr:row>
                <xdr:rowOff>123825</xdr:rowOff>
              </from>
              <to>
                <xdr:col>5</xdr:col>
                <xdr:colOff>23813</xdr:colOff>
                <xdr:row>13</xdr:row>
                <xdr:rowOff>66675</xdr:rowOff>
              </to>
            </anchor>
          </controlPr>
        </control>
      </mc:Choice>
      <mc:Fallback>
        <control shapeId="1037" r:id="rId12" name="SpinB_Bis"/>
      </mc:Fallback>
    </mc:AlternateContent>
    <mc:AlternateContent xmlns:mc="http://schemas.openxmlformats.org/markup-compatibility/2006">
      <mc:Choice Requires="x14">
        <control shapeId="1038" r:id="rId13" name="TBox_Bis">
          <controlPr defaultSize="0" autoLine="0" r:id="rId14">
            <anchor moveWithCells="1">
              <from>
                <xdr:col>3</xdr:col>
                <xdr:colOff>509588</xdr:colOff>
                <xdr:row>11</xdr:row>
                <xdr:rowOff>128588</xdr:rowOff>
              </from>
              <to>
                <xdr:col>4</xdr:col>
                <xdr:colOff>738188</xdr:colOff>
                <xdr:row>13</xdr:row>
                <xdr:rowOff>52388</xdr:rowOff>
              </to>
            </anchor>
          </controlPr>
        </control>
      </mc:Choice>
      <mc:Fallback>
        <control shapeId="1038" r:id="rId13" name="TBox_Bi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C653-2770-481D-BE96-35195926549A}">
  <sheetPr codeName="Tabelle2"/>
  <dimension ref="A1:M108"/>
  <sheetViews>
    <sheetView zoomScale="93" zoomScaleNormal="115" workbookViewId="0">
      <selection activeCell="N43" sqref="N43"/>
    </sheetView>
  </sheetViews>
  <sheetFormatPr baseColWidth="10" defaultRowHeight="13.5" x14ac:dyDescent="0.35"/>
  <sheetData>
    <row r="1" spans="1:13" ht="17.649999999999999" x14ac:dyDescent="0.5">
      <c r="A1" s="1" t="s">
        <v>29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13.9" x14ac:dyDescent="0.4">
      <c r="A2" s="2" t="s">
        <v>10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4" spans="1:13" ht="13.9" x14ac:dyDescent="0.4">
      <c r="A4" s="4" t="s">
        <v>4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25" spans="1:13" ht="13.9" x14ac:dyDescent="0.4">
      <c r="A25" s="4" t="s">
        <v>5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7" spans="1:13" x14ac:dyDescent="0.35">
      <c r="A27" t="s">
        <v>19</v>
      </c>
    </row>
    <row r="28" spans="1:13" ht="13.9" thickBot="1" x14ac:dyDescent="0.4"/>
    <row r="29" spans="1:13" ht="14.25" thickBot="1" x14ac:dyDescent="0.45">
      <c r="A29" s="11"/>
      <c r="B29" s="12">
        <v>22</v>
      </c>
      <c r="C29" s="13">
        <v>23</v>
      </c>
      <c r="D29" s="13">
        <v>24</v>
      </c>
      <c r="E29" s="13">
        <v>25</v>
      </c>
      <c r="F29" s="13">
        <v>26</v>
      </c>
      <c r="G29" s="13">
        <v>27</v>
      </c>
      <c r="H29" s="13">
        <v>28</v>
      </c>
      <c r="I29" s="13">
        <v>29</v>
      </c>
      <c r="J29" s="13">
        <v>30</v>
      </c>
      <c r="K29" s="13">
        <v>31</v>
      </c>
      <c r="L29" s="14">
        <v>32</v>
      </c>
    </row>
    <row r="30" spans="1:13" ht="13.9" x14ac:dyDescent="0.35">
      <c r="A30" s="15">
        <v>2004</v>
      </c>
      <c r="B30" s="16">
        <v>6.2044626593806919E-2</v>
      </c>
      <c r="C30" s="16">
        <v>4.8041894353369766E-2</v>
      </c>
      <c r="D30" s="16">
        <v>3.8592896174863389E-2</v>
      </c>
      <c r="E30" s="16">
        <v>2.8460837887067394E-2</v>
      </c>
      <c r="F30" s="16">
        <v>2.185792349726776E-2</v>
      </c>
      <c r="G30" s="16">
        <v>1.5255009107468125E-2</v>
      </c>
      <c r="H30" s="16">
        <v>1.0473588342440802E-2</v>
      </c>
      <c r="I30" s="16">
        <v>5.1229508196721308E-3</v>
      </c>
      <c r="J30" s="16">
        <v>1.8214936247723133E-3</v>
      </c>
      <c r="K30" s="16">
        <v>1.1384335154826958E-4</v>
      </c>
      <c r="L30" s="34">
        <v>0</v>
      </c>
    </row>
    <row r="31" spans="1:13" ht="13.9" x14ac:dyDescent="0.35">
      <c r="A31" s="15">
        <v>2005</v>
      </c>
      <c r="B31" s="16">
        <v>6.7922374429223747E-2</v>
      </c>
      <c r="C31" s="16">
        <v>5.4794520547945202E-2</v>
      </c>
      <c r="D31" s="16">
        <v>4.4634703196347034E-2</v>
      </c>
      <c r="E31" s="16">
        <v>3.515981735159817E-2</v>
      </c>
      <c r="F31" s="16">
        <v>2.7625570776255708E-2</v>
      </c>
      <c r="G31" s="16">
        <v>1.9406392694063926E-2</v>
      </c>
      <c r="H31" s="16">
        <v>1.4155251141552512E-2</v>
      </c>
      <c r="I31" s="16">
        <v>9.2465753424657536E-3</v>
      </c>
      <c r="J31" s="16">
        <v>5.4794520547945206E-3</v>
      </c>
      <c r="K31" s="16">
        <v>3.1963470319634705E-3</v>
      </c>
      <c r="L31" s="34">
        <v>1.5981735159817352E-3</v>
      </c>
    </row>
    <row r="32" spans="1:13" ht="13.9" x14ac:dyDescent="0.35">
      <c r="A32" s="15">
        <v>2006</v>
      </c>
      <c r="B32" s="16">
        <v>8.3333333333333329E-2</v>
      </c>
      <c r="C32" s="16">
        <v>6.7808219178082191E-2</v>
      </c>
      <c r="D32" s="16">
        <v>5.410958904109589E-2</v>
      </c>
      <c r="E32" s="16">
        <v>4.4406392694063927E-2</v>
      </c>
      <c r="F32" s="16">
        <v>3.4817351598173514E-2</v>
      </c>
      <c r="G32" s="16">
        <v>2.5114155251141551E-2</v>
      </c>
      <c r="H32" s="16">
        <v>1.7579908675799085E-2</v>
      </c>
      <c r="I32" s="16">
        <v>1.2100456621004566E-2</v>
      </c>
      <c r="J32" s="16">
        <v>8.5616438356164379E-3</v>
      </c>
      <c r="K32" s="16">
        <v>5.2511415525114159E-3</v>
      </c>
      <c r="L32" s="34">
        <v>3.5388127853881279E-3</v>
      </c>
    </row>
    <row r="33" spans="1:12" ht="13.9" x14ac:dyDescent="0.35">
      <c r="A33" s="15">
        <v>2007</v>
      </c>
      <c r="B33" s="16">
        <v>6.6780821917808222E-2</v>
      </c>
      <c r="C33" s="16">
        <v>5.0570776255707765E-2</v>
      </c>
      <c r="D33" s="16">
        <v>3.5730593607305933E-2</v>
      </c>
      <c r="E33" s="16">
        <v>2.6598173515981736E-2</v>
      </c>
      <c r="F33" s="16">
        <v>1.7579908675799085E-2</v>
      </c>
      <c r="G33" s="16">
        <v>1.0958904109589041E-2</v>
      </c>
      <c r="H33" s="16">
        <v>6.6210045662100456E-3</v>
      </c>
      <c r="I33" s="16">
        <v>3.5388127853881279E-3</v>
      </c>
      <c r="J33" s="16">
        <v>2.2831050228310501E-3</v>
      </c>
      <c r="K33" s="16">
        <v>1.7123287671232876E-3</v>
      </c>
      <c r="L33" s="34">
        <v>1.3698630136986301E-3</v>
      </c>
    </row>
    <row r="34" spans="1:12" ht="13.9" x14ac:dyDescent="0.35">
      <c r="A34" s="15">
        <v>2008</v>
      </c>
      <c r="B34" s="16">
        <v>6.8761384335154829E-2</v>
      </c>
      <c r="C34" s="16">
        <v>5.1912568306010931E-2</v>
      </c>
      <c r="D34" s="16">
        <v>3.8479052823315117E-2</v>
      </c>
      <c r="E34" s="16">
        <v>2.8688524590163935E-2</v>
      </c>
      <c r="F34" s="16">
        <v>2.185792349726776E-2</v>
      </c>
      <c r="G34" s="16">
        <v>1.5027322404371584E-2</v>
      </c>
      <c r="H34" s="16">
        <v>1.0815118397085609E-2</v>
      </c>
      <c r="I34" s="16">
        <v>6.9444444444444441E-3</v>
      </c>
      <c r="J34" s="16">
        <v>3.5291438979963572E-3</v>
      </c>
      <c r="K34" s="16">
        <v>7.9690346083788712E-4</v>
      </c>
      <c r="L34" s="34">
        <v>0</v>
      </c>
    </row>
    <row r="35" spans="1:12" ht="13.9" x14ac:dyDescent="0.35">
      <c r="A35" s="15">
        <v>2009</v>
      </c>
      <c r="B35" s="16">
        <v>6.860730593607306E-2</v>
      </c>
      <c r="C35" s="16">
        <v>0.05</v>
      </c>
      <c r="D35" s="16">
        <v>3.8698630136986302E-2</v>
      </c>
      <c r="E35" s="16">
        <v>2.7511415525114154E-2</v>
      </c>
      <c r="F35" s="16">
        <v>1.7009132420091323E-2</v>
      </c>
      <c r="G35" s="16">
        <v>9.7031963470319629E-3</v>
      </c>
      <c r="H35" s="16">
        <v>5.2511415525114159E-3</v>
      </c>
      <c r="I35" s="16">
        <v>3.0821917808219177E-3</v>
      </c>
      <c r="J35" s="16">
        <v>1.3698630136986301E-3</v>
      </c>
      <c r="K35" s="16">
        <v>1.1415525114155251E-3</v>
      </c>
      <c r="L35" s="34">
        <v>4.5662100456621003E-4</v>
      </c>
    </row>
    <row r="36" spans="1:12" ht="13.9" x14ac:dyDescent="0.35">
      <c r="A36" s="15">
        <v>2010</v>
      </c>
      <c r="B36" s="16">
        <v>6.2899543378995434E-2</v>
      </c>
      <c r="C36" s="16">
        <v>5.194063926940639E-2</v>
      </c>
      <c r="D36" s="16">
        <v>4.2808219178082189E-2</v>
      </c>
      <c r="E36" s="16">
        <v>3.6187214611872145E-2</v>
      </c>
      <c r="F36" s="16">
        <v>2.8424657534246577E-2</v>
      </c>
      <c r="G36" s="16">
        <v>2.1461187214611873E-2</v>
      </c>
      <c r="H36" s="16">
        <v>1.5296803652968037E-2</v>
      </c>
      <c r="I36" s="16">
        <v>1.0844748858447488E-2</v>
      </c>
      <c r="J36" s="16">
        <v>8.5616438356164379E-3</v>
      </c>
      <c r="K36" s="16">
        <v>6.392694063926941E-3</v>
      </c>
      <c r="L36" s="34">
        <v>3.9954337899543377E-3</v>
      </c>
    </row>
    <row r="37" spans="1:12" ht="13.9" x14ac:dyDescent="0.35">
      <c r="A37" s="15">
        <v>2011</v>
      </c>
      <c r="B37" s="16">
        <v>7.5913242009132423E-2</v>
      </c>
      <c r="C37" s="16">
        <v>5.7990867579908678E-2</v>
      </c>
      <c r="D37" s="16">
        <v>4.0639269406392696E-2</v>
      </c>
      <c r="E37" s="16">
        <v>2.7625570776255708E-2</v>
      </c>
      <c r="F37" s="16">
        <v>1.9178082191780823E-2</v>
      </c>
      <c r="G37" s="16">
        <v>1.3356164383561644E-2</v>
      </c>
      <c r="H37" s="16">
        <v>7.6484018264840184E-3</v>
      </c>
      <c r="I37" s="16">
        <v>4.5662100456621002E-3</v>
      </c>
      <c r="J37" s="16">
        <v>2.8538812785388126E-3</v>
      </c>
      <c r="K37" s="16">
        <v>1.4840182648401827E-3</v>
      </c>
      <c r="L37" s="34">
        <v>9.1324200913242006E-4</v>
      </c>
    </row>
    <row r="38" spans="1:12" ht="13.9" x14ac:dyDescent="0.35">
      <c r="A38" s="15">
        <v>2012</v>
      </c>
      <c r="B38" s="16">
        <v>9.1757741347905278E-2</v>
      </c>
      <c r="C38" s="16">
        <v>7.251821493624773E-2</v>
      </c>
      <c r="D38" s="16">
        <v>5.4758652094717669E-2</v>
      </c>
      <c r="E38" s="16">
        <v>4.1666666666666664E-2</v>
      </c>
      <c r="F38" s="16">
        <v>3.0282331511839709E-2</v>
      </c>
      <c r="G38" s="16">
        <v>2.2313296903460837E-2</v>
      </c>
      <c r="H38" s="16">
        <v>1.6393442622950821E-2</v>
      </c>
      <c r="I38" s="16">
        <v>1.2181238615664846E-2</v>
      </c>
      <c r="J38" s="16">
        <v>7.9690346083788714E-3</v>
      </c>
      <c r="K38" s="16">
        <v>4.7814207650273225E-3</v>
      </c>
      <c r="L38" s="34">
        <v>3.756830601092896E-3</v>
      </c>
    </row>
    <row r="39" spans="1:12" ht="13.9" x14ac:dyDescent="0.35">
      <c r="A39" s="15">
        <v>2013</v>
      </c>
      <c r="B39" s="16">
        <v>7.8538812785388129E-2</v>
      </c>
      <c r="C39" s="16">
        <v>6.3242009132420091E-2</v>
      </c>
      <c r="D39" s="16">
        <v>0.05</v>
      </c>
      <c r="E39" s="16">
        <v>4.0182648401826483E-2</v>
      </c>
      <c r="F39" s="16">
        <v>3.1963470319634701E-2</v>
      </c>
      <c r="G39" s="16">
        <v>2.4657534246575342E-2</v>
      </c>
      <c r="H39" s="16">
        <v>1.872146118721461E-2</v>
      </c>
      <c r="I39" s="16">
        <v>1.4155251141552512E-2</v>
      </c>
      <c r="J39" s="16">
        <v>1.0616438356164383E-2</v>
      </c>
      <c r="K39" s="16">
        <v>8.1050228310502286E-3</v>
      </c>
      <c r="L39" s="34">
        <v>5.5936073059360729E-3</v>
      </c>
    </row>
    <row r="40" spans="1:12" ht="13.9" x14ac:dyDescent="0.35">
      <c r="A40" s="15">
        <v>2014</v>
      </c>
      <c r="B40" s="16">
        <v>6.5981735159817353E-2</v>
      </c>
      <c r="C40" s="16">
        <v>4.942922374429224E-2</v>
      </c>
      <c r="D40" s="16">
        <v>3.6529680365296802E-2</v>
      </c>
      <c r="E40" s="16">
        <v>2.6027397260273973E-2</v>
      </c>
      <c r="F40" s="16">
        <v>2.0091324200913242E-2</v>
      </c>
      <c r="G40" s="16">
        <v>1.449771689497717E-2</v>
      </c>
      <c r="H40" s="16">
        <v>1.0045662100456621E-2</v>
      </c>
      <c r="I40" s="16">
        <v>7.3059360730593605E-3</v>
      </c>
      <c r="J40" s="16">
        <v>5.1369863013698627E-3</v>
      </c>
      <c r="K40" s="16">
        <v>3.0821917808219177E-3</v>
      </c>
      <c r="L40" s="34">
        <v>1.5981735159817352E-3</v>
      </c>
    </row>
    <row r="41" spans="1:12" ht="13.9" x14ac:dyDescent="0.35">
      <c r="A41" s="15">
        <v>2015</v>
      </c>
      <c r="B41" s="16">
        <v>9.4977168949771693E-2</v>
      </c>
      <c r="C41" s="16">
        <v>8.0821917808219179E-2</v>
      </c>
      <c r="D41" s="16">
        <v>7.0205479452054798E-2</v>
      </c>
      <c r="E41" s="16">
        <v>5.9474885844748859E-2</v>
      </c>
      <c r="F41" s="16">
        <v>4.8972602739726027E-2</v>
      </c>
      <c r="G41" s="16">
        <v>3.9497716894977171E-2</v>
      </c>
      <c r="H41" s="16">
        <v>3.287671232876712E-2</v>
      </c>
      <c r="I41" s="16">
        <v>2.7283105022831051E-2</v>
      </c>
      <c r="J41" s="16">
        <v>2.2031963470319636E-2</v>
      </c>
      <c r="K41" s="16">
        <v>1.678082191780822E-2</v>
      </c>
      <c r="L41" s="34">
        <v>1.2214611872146119E-2</v>
      </c>
    </row>
    <row r="42" spans="1:12" ht="13.9" x14ac:dyDescent="0.35">
      <c r="A42" s="15">
        <v>2016</v>
      </c>
      <c r="B42" s="16">
        <v>8.3105646630236799E-2</v>
      </c>
      <c r="C42" s="16">
        <v>6.62568306010929E-2</v>
      </c>
      <c r="D42" s="16">
        <v>5.1912568306010931E-2</v>
      </c>
      <c r="E42" s="16">
        <v>3.8365209471766852E-2</v>
      </c>
      <c r="F42" s="16">
        <v>2.7777777777777776E-2</v>
      </c>
      <c r="G42" s="16">
        <v>1.9239526411657559E-2</v>
      </c>
      <c r="H42" s="16">
        <v>1.377504553734062E-2</v>
      </c>
      <c r="I42" s="16">
        <v>9.4489981785063747E-3</v>
      </c>
      <c r="J42" s="16">
        <v>6.7167577413479052E-3</v>
      </c>
      <c r="K42" s="16">
        <v>3.4153005464480873E-3</v>
      </c>
      <c r="L42" s="34">
        <v>1.2522768670309653E-3</v>
      </c>
    </row>
    <row r="43" spans="1:12" ht="13.9" x14ac:dyDescent="0.35">
      <c r="A43" s="15">
        <v>2017</v>
      </c>
      <c r="B43" s="16">
        <v>8.8584474885844755E-2</v>
      </c>
      <c r="C43" s="16">
        <v>7.2374429223744291E-2</v>
      </c>
      <c r="D43" s="16">
        <v>5.6164383561643834E-2</v>
      </c>
      <c r="E43" s="16">
        <v>4.1666666666666664E-2</v>
      </c>
      <c r="F43" s="16">
        <v>3.093607305936073E-2</v>
      </c>
      <c r="G43" s="16">
        <v>2.1689497716894976E-2</v>
      </c>
      <c r="H43" s="16">
        <v>1.4611872146118721E-2</v>
      </c>
      <c r="I43" s="16">
        <v>9.4748858447488583E-3</v>
      </c>
      <c r="J43" s="16">
        <v>5.2511415525114159E-3</v>
      </c>
      <c r="K43" s="16">
        <v>2.9680365296803654E-3</v>
      </c>
      <c r="L43" s="34">
        <v>1.0273972602739725E-3</v>
      </c>
    </row>
    <row r="44" spans="1:12" ht="13.9" x14ac:dyDescent="0.35">
      <c r="A44" s="15">
        <v>2018</v>
      </c>
      <c r="B44" s="16">
        <v>0.13926940639269406</v>
      </c>
      <c r="C44" s="16">
        <v>0.11689497716894977</v>
      </c>
      <c r="D44" s="16">
        <v>9.3721461187214611E-2</v>
      </c>
      <c r="E44" s="16">
        <v>7.5570776255707767E-2</v>
      </c>
      <c r="F44" s="16">
        <v>5.9589041095890409E-2</v>
      </c>
      <c r="G44" s="16">
        <v>4.3264840182648402E-2</v>
      </c>
      <c r="H44" s="16">
        <v>2.9566210045662102E-2</v>
      </c>
      <c r="I44" s="16">
        <v>2.0547945205479451E-2</v>
      </c>
      <c r="J44" s="16">
        <v>1.1986301369863013E-2</v>
      </c>
      <c r="K44" s="16">
        <v>7.534246575342466E-3</v>
      </c>
      <c r="L44" s="34">
        <v>4.2237442922374432E-3</v>
      </c>
    </row>
    <row r="45" spans="1:12" ht="13.9" x14ac:dyDescent="0.35">
      <c r="A45" s="15">
        <v>2019</v>
      </c>
      <c r="B45" s="16">
        <v>0.10171232876712329</v>
      </c>
      <c r="C45" s="16">
        <v>8.253424657534246E-2</v>
      </c>
      <c r="D45" s="16">
        <v>6.609589041095891E-2</v>
      </c>
      <c r="E45" s="16">
        <v>5.2968036529680365E-2</v>
      </c>
      <c r="F45" s="16">
        <v>4.0525114155251139E-2</v>
      </c>
      <c r="G45" s="16">
        <v>3.1963470319634701E-2</v>
      </c>
      <c r="H45" s="16">
        <v>2.5114155251141551E-2</v>
      </c>
      <c r="I45" s="16">
        <v>1.8378995433789954E-2</v>
      </c>
      <c r="J45" s="16">
        <v>1.2328767123287671E-2</v>
      </c>
      <c r="K45" s="16">
        <v>8.1050228310502286E-3</v>
      </c>
      <c r="L45" s="34">
        <v>6.5068493150684933E-3</v>
      </c>
    </row>
    <row r="46" spans="1:12" ht="13.9" x14ac:dyDescent="0.35">
      <c r="A46" s="15">
        <v>2020</v>
      </c>
      <c r="B46" s="16">
        <v>8.7090163934426229E-2</v>
      </c>
      <c r="C46" s="16">
        <v>6.9102914389799638E-2</v>
      </c>
      <c r="D46" s="16">
        <v>5.3051001821493624E-2</v>
      </c>
      <c r="E46" s="16">
        <v>4.04143897996357E-2</v>
      </c>
      <c r="F46" s="16">
        <v>2.99408014571949E-2</v>
      </c>
      <c r="G46" s="16">
        <v>2.2199453551912569E-2</v>
      </c>
      <c r="H46" s="16">
        <v>1.5368852459016393E-2</v>
      </c>
      <c r="I46" s="16">
        <v>1.0018214936247723E-2</v>
      </c>
      <c r="J46" s="16">
        <v>7.6275045537340623E-3</v>
      </c>
      <c r="K46" s="16">
        <v>6.1475409836065573E-3</v>
      </c>
      <c r="L46" s="34">
        <v>4.2122040072859745E-3</v>
      </c>
    </row>
    <row r="47" spans="1:12" ht="13.9" x14ac:dyDescent="0.35">
      <c r="A47" s="15">
        <v>2021</v>
      </c>
      <c r="B47" s="16">
        <v>7.0091324200913241E-2</v>
      </c>
      <c r="C47" s="16">
        <v>5.3538812785388128E-2</v>
      </c>
      <c r="D47" s="16">
        <v>3.801369863013699E-2</v>
      </c>
      <c r="E47" s="16">
        <v>2.4657534246575342E-2</v>
      </c>
      <c r="F47" s="16">
        <v>1.632420091324201E-2</v>
      </c>
      <c r="G47" s="16">
        <v>1.0388127853881279E-2</v>
      </c>
      <c r="H47" s="16">
        <v>6.392694063926941E-3</v>
      </c>
      <c r="I47" s="16">
        <v>4.2237442922374432E-3</v>
      </c>
      <c r="J47" s="16">
        <v>2.2831050228310501E-3</v>
      </c>
      <c r="K47" s="16">
        <v>1.5981735159817352E-3</v>
      </c>
      <c r="L47" s="34">
        <v>5.7077625570776253E-4</v>
      </c>
    </row>
    <row r="48" spans="1:12" ht="13.9" x14ac:dyDescent="0.35">
      <c r="A48" s="15">
        <v>2022</v>
      </c>
      <c r="B48" s="16">
        <v>0.11267123287671232</v>
      </c>
      <c r="C48" s="16">
        <v>9.3378995433789955E-2</v>
      </c>
      <c r="D48" s="16">
        <v>7.8652968036529686E-2</v>
      </c>
      <c r="E48" s="16">
        <v>6.3356164383561647E-2</v>
      </c>
      <c r="F48" s="16">
        <v>5.0570776255707765E-2</v>
      </c>
      <c r="G48" s="16">
        <v>3.6073059360730596E-2</v>
      </c>
      <c r="H48" s="16">
        <v>2.4885844748858448E-2</v>
      </c>
      <c r="I48" s="16">
        <v>1.906392694063927E-2</v>
      </c>
      <c r="J48" s="16">
        <v>1.2671232876712329E-2</v>
      </c>
      <c r="K48" s="16">
        <v>8.7899543378995425E-3</v>
      </c>
      <c r="L48" s="34">
        <v>6.5068493150684933E-3</v>
      </c>
    </row>
    <row r="49" spans="1:12" ht="13.9" x14ac:dyDescent="0.35">
      <c r="A49" s="15">
        <v>2023</v>
      </c>
      <c r="B49" s="16">
        <v>0.10799086757990868</v>
      </c>
      <c r="C49" s="16">
        <v>8.6073059360730592E-2</v>
      </c>
      <c r="D49" s="16">
        <v>6.6438356164383566E-2</v>
      </c>
      <c r="E49" s="16">
        <v>5.171232876712329E-2</v>
      </c>
      <c r="F49" s="16">
        <v>3.9041095890410958E-2</v>
      </c>
      <c r="G49" s="16">
        <v>2.9109589041095889E-2</v>
      </c>
      <c r="H49" s="16">
        <v>2.0890410958904111E-2</v>
      </c>
      <c r="I49" s="16">
        <v>1.3698630136986301E-2</v>
      </c>
      <c r="J49" s="16">
        <v>9.4748858447488583E-3</v>
      </c>
      <c r="K49" s="16">
        <v>5.4794520547945206E-3</v>
      </c>
      <c r="L49" s="34">
        <v>3.3105022831050228E-3</v>
      </c>
    </row>
    <row r="50" spans="1:12" ht="14.25" thickBot="1" x14ac:dyDescent="0.4">
      <c r="A50" s="15">
        <v>2024</v>
      </c>
      <c r="B50" s="16">
        <v>0.10132058287795993</v>
      </c>
      <c r="C50" s="16">
        <v>8.2536429872495445E-2</v>
      </c>
      <c r="D50" s="16">
        <v>6.3524590163934427E-2</v>
      </c>
      <c r="E50" s="16">
        <v>4.9863387978142076E-2</v>
      </c>
      <c r="F50" s="16">
        <v>3.9503642987249545E-2</v>
      </c>
      <c r="G50" s="16">
        <v>2.9371584699453553E-2</v>
      </c>
      <c r="H50" s="16">
        <v>2.0264116575591986E-2</v>
      </c>
      <c r="I50" s="16">
        <v>1.2522768670309653E-2</v>
      </c>
      <c r="J50" s="16">
        <v>8.6520947176684879E-3</v>
      </c>
      <c r="K50" s="16">
        <v>5.1229508196721308E-3</v>
      </c>
      <c r="L50" s="34">
        <v>2.3907103825136613E-3</v>
      </c>
    </row>
    <row r="51" spans="1:12" ht="14.25" thickBot="1" x14ac:dyDescent="0.45">
      <c r="A51" s="18" t="s">
        <v>31</v>
      </c>
      <c r="B51" s="19">
        <v>8.168260473588343E-2</v>
      </c>
      <c r="C51" s="20">
        <v>6.5289162112932606E-2</v>
      </c>
      <c r="D51" s="20">
        <v>5.1058743169398908E-2</v>
      </c>
      <c r="E51" s="20">
        <v>3.9162112932604735E-2</v>
      </c>
      <c r="F51" s="20">
        <v>3.0680783242258654E-2</v>
      </c>
      <c r="G51" s="20">
        <v>2.2313296903460837E-2</v>
      </c>
      <c r="H51" s="20">
        <v>1.5368852459016393E-2</v>
      </c>
      <c r="I51" s="20">
        <v>8.8228597449908925E-3</v>
      </c>
      <c r="J51" s="20">
        <v>5.2367941712204002E-3</v>
      </c>
      <c r="K51" s="20">
        <v>2.6183970856102001E-3</v>
      </c>
      <c r="L51" s="21">
        <v>1.1953551912568306E-3</v>
      </c>
    </row>
    <row r="52" spans="1:12" ht="14.25" thickBot="1" x14ac:dyDescent="0.4">
      <c r="A52" s="17" t="s">
        <v>32</v>
      </c>
      <c r="B52" s="22">
        <v>2.7772295026110966E-2</v>
      </c>
      <c r="C52" s="23">
        <v>2.4391319979454023E-2</v>
      </c>
      <c r="D52" s="23">
        <v>1.7629369886140007E-2</v>
      </c>
      <c r="E52" s="23">
        <v>1.513388830408367E-2</v>
      </c>
      <c r="F52" s="23">
        <v>1.2477407910281733E-2</v>
      </c>
      <c r="G52" s="23">
        <v>9.9819263282254021E-3</v>
      </c>
      <c r="H52" s="23">
        <v>6.9229489050595524E-3</v>
      </c>
      <c r="I52" s="23">
        <v>5.2324613817310529E-3</v>
      </c>
      <c r="J52" s="23">
        <v>4.8299643523671285E-3</v>
      </c>
      <c r="K52" s="23">
        <v>3.5419738584025607E-3</v>
      </c>
      <c r="L52" s="24">
        <v>1.6904875233284948E-3</v>
      </c>
    </row>
    <row r="55" spans="1:12" x14ac:dyDescent="0.35">
      <c r="A55" t="s">
        <v>8</v>
      </c>
    </row>
    <row r="56" spans="1:12" ht="13.9" thickBot="1" x14ac:dyDescent="0.4"/>
    <row r="57" spans="1:12" ht="14.25" thickBot="1" x14ac:dyDescent="0.45">
      <c r="A57" s="11"/>
      <c r="B57" s="12">
        <v>22</v>
      </c>
      <c r="C57" s="13">
        <v>23</v>
      </c>
      <c r="D57" s="13">
        <v>24</v>
      </c>
      <c r="E57" s="13">
        <v>25</v>
      </c>
      <c r="F57" s="13">
        <v>26</v>
      </c>
      <c r="G57" s="13">
        <v>27</v>
      </c>
      <c r="H57" s="13">
        <v>28</v>
      </c>
      <c r="I57" s="13">
        <v>29</v>
      </c>
      <c r="J57" s="13">
        <v>30</v>
      </c>
      <c r="K57" s="13">
        <v>31</v>
      </c>
      <c r="L57" s="14">
        <v>32</v>
      </c>
    </row>
    <row r="58" spans="1:12" ht="13.9" x14ac:dyDescent="0.35">
      <c r="A58" s="15">
        <v>2004</v>
      </c>
      <c r="B58" s="31">
        <v>545</v>
      </c>
      <c r="C58" s="31">
        <v>422</v>
      </c>
      <c r="D58" s="31">
        <v>339</v>
      </c>
      <c r="E58" s="31">
        <v>250</v>
      </c>
      <c r="F58" s="31">
        <v>192</v>
      </c>
      <c r="G58" s="31">
        <v>134</v>
      </c>
      <c r="H58" s="31">
        <v>92</v>
      </c>
      <c r="I58" s="31">
        <v>45</v>
      </c>
      <c r="J58" s="31">
        <v>16</v>
      </c>
      <c r="K58" s="31">
        <v>1</v>
      </c>
      <c r="L58" s="35">
        <v>0</v>
      </c>
    </row>
    <row r="59" spans="1:12" ht="13.9" x14ac:dyDescent="0.35">
      <c r="A59" s="15">
        <v>2005</v>
      </c>
      <c r="B59" s="31">
        <v>595</v>
      </c>
      <c r="C59" s="31">
        <v>480</v>
      </c>
      <c r="D59" s="31">
        <v>391</v>
      </c>
      <c r="E59" s="31">
        <v>308</v>
      </c>
      <c r="F59" s="31">
        <v>242</v>
      </c>
      <c r="G59" s="31">
        <v>170</v>
      </c>
      <c r="H59" s="31">
        <v>124</v>
      </c>
      <c r="I59" s="31">
        <v>81</v>
      </c>
      <c r="J59" s="31">
        <v>48</v>
      </c>
      <c r="K59" s="31">
        <v>28</v>
      </c>
      <c r="L59" s="35">
        <v>14</v>
      </c>
    </row>
    <row r="60" spans="1:12" ht="13.9" x14ac:dyDescent="0.35">
      <c r="A60" s="15">
        <v>2006</v>
      </c>
      <c r="B60" s="31">
        <v>730</v>
      </c>
      <c r="C60" s="31">
        <v>594</v>
      </c>
      <c r="D60" s="31">
        <v>474</v>
      </c>
      <c r="E60" s="31">
        <v>389</v>
      </c>
      <c r="F60" s="31">
        <v>305</v>
      </c>
      <c r="G60" s="31">
        <v>220</v>
      </c>
      <c r="H60" s="31">
        <v>154</v>
      </c>
      <c r="I60" s="31">
        <v>106</v>
      </c>
      <c r="J60" s="31">
        <v>75</v>
      </c>
      <c r="K60" s="31">
        <v>46</v>
      </c>
      <c r="L60" s="35">
        <v>31</v>
      </c>
    </row>
    <row r="61" spans="1:12" ht="13.9" x14ac:dyDescent="0.35">
      <c r="A61" s="15">
        <v>2007</v>
      </c>
      <c r="B61" s="31">
        <v>585</v>
      </c>
      <c r="C61" s="31">
        <v>443</v>
      </c>
      <c r="D61" s="31">
        <v>313</v>
      </c>
      <c r="E61" s="31">
        <v>233</v>
      </c>
      <c r="F61" s="31">
        <v>154</v>
      </c>
      <c r="G61" s="31">
        <v>96</v>
      </c>
      <c r="H61" s="31">
        <v>58</v>
      </c>
      <c r="I61" s="31">
        <v>31</v>
      </c>
      <c r="J61" s="31">
        <v>20</v>
      </c>
      <c r="K61" s="31">
        <v>15</v>
      </c>
      <c r="L61" s="35">
        <v>12</v>
      </c>
    </row>
    <row r="62" spans="1:12" ht="13.9" x14ac:dyDescent="0.35">
      <c r="A62" s="15">
        <v>2008</v>
      </c>
      <c r="B62" s="31">
        <v>604</v>
      </c>
      <c r="C62" s="31">
        <v>456</v>
      </c>
      <c r="D62" s="31">
        <v>338</v>
      </c>
      <c r="E62" s="31">
        <v>252</v>
      </c>
      <c r="F62" s="31">
        <v>192</v>
      </c>
      <c r="G62" s="31">
        <v>132</v>
      </c>
      <c r="H62" s="31">
        <v>95</v>
      </c>
      <c r="I62" s="31">
        <v>61</v>
      </c>
      <c r="J62" s="31">
        <v>31</v>
      </c>
      <c r="K62" s="31">
        <v>7</v>
      </c>
      <c r="L62" s="35">
        <v>0</v>
      </c>
    </row>
    <row r="63" spans="1:12" ht="13.9" x14ac:dyDescent="0.35">
      <c r="A63" s="15">
        <v>2009</v>
      </c>
      <c r="B63" s="31">
        <v>601</v>
      </c>
      <c r="C63" s="31">
        <v>438</v>
      </c>
      <c r="D63" s="31">
        <v>339</v>
      </c>
      <c r="E63" s="31">
        <v>241</v>
      </c>
      <c r="F63" s="31">
        <v>149</v>
      </c>
      <c r="G63" s="31">
        <v>85</v>
      </c>
      <c r="H63" s="31">
        <v>46</v>
      </c>
      <c r="I63" s="31">
        <v>27</v>
      </c>
      <c r="J63" s="31">
        <v>12</v>
      </c>
      <c r="K63" s="31">
        <v>10</v>
      </c>
      <c r="L63" s="35">
        <v>4</v>
      </c>
    </row>
    <row r="64" spans="1:12" ht="13.9" x14ac:dyDescent="0.35">
      <c r="A64" s="15">
        <v>2010</v>
      </c>
      <c r="B64" s="31">
        <v>551</v>
      </c>
      <c r="C64" s="31">
        <v>455</v>
      </c>
      <c r="D64" s="31">
        <v>375</v>
      </c>
      <c r="E64" s="31">
        <v>317</v>
      </c>
      <c r="F64" s="31">
        <v>249</v>
      </c>
      <c r="G64" s="31">
        <v>188</v>
      </c>
      <c r="H64" s="31">
        <v>134</v>
      </c>
      <c r="I64" s="31">
        <v>95</v>
      </c>
      <c r="J64" s="31">
        <v>75</v>
      </c>
      <c r="K64" s="31">
        <v>56</v>
      </c>
      <c r="L64" s="35">
        <v>35</v>
      </c>
    </row>
    <row r="65" spans="1:12" ht="13.9" x14ac:dyDescent="0.35">
      <c r="A65" s="15">
        <v>2011</v>
      </c>
      <c r="B65" s="31">
        <v>665</v>
      </c>
      <c r="C65" s="31">
        <v>508</v>
      </c>
      <c r="D65" s="31">
        <v>356</v>
      </c>
      <c r="E65" s="31">
        <v>242</v>
      </c>
      <c r="F65" s="31">
        <v>168</v>
      </c>
      <c r="G65" s="31">
        <v>117</v>
      </c>
      <c r="H65" s="31">
        <v>67</v>
      </c>
      <c r="I65" s="31">
        <v>40</v>
      </c>
      <c r="J65" s="31">
        <v>25</v>
      </c>
      <c r="K65" s="31">
        <v>13</v>
      </c>
      <c r="L65" s="35">
        <v>8</v>
      </c>
    </row>
    <row r="66" spans="1:12" ht="13.9" x14ac:dyDescent="0.35">
      <c r="A66" s="15">
        <v>2012</v>
      </c>
      <c r="B66" s="31">
        <v>806</v>
      </c>
      <c r="C66" s="31">
        <v>637</v>
      </c>
      <c r="D66" s="31">
        <v>481</v>
      </c>
      <c r="E66" s="31">
        <v>366</v>
      </c>
      <c r="F66" s="31">
        <v>266</v>
      </c>
      <c r="G66" s="31">
        <v>196</v>
      </c>
      <c r="H66" s="31">
        <v>144</v>
      </c>
      <c r="I66" s="31">
        <v>107</v>
      </c>
      <c r="J66" s="31">
        <v>70</v>
      </c>
      <c r="K66" s="31">
        <v>42</v>
      </c>
      <c r="L66" s="35">
        <v>33</v>
      </c>
    </row>
    <row r="67" spans="1:12" ht="13.9" x14ac:dyDescent="0.35">
      <c r="A67" s="15">
        <v>2013</v>
      </c>
      <c r="B67" s="31">
        <v>688</v>
      </c>
      <c r="C67" s="31">
        <v>554</v>
      </c>
      <c r="D67" s="31">
        <v>438</v>
      </c>
      <c r="E67" s="31">
        <v>352</v>
      </c>
      <c r="F67" s="31">
        <v>280</v>
      </c>
      <c r="G67" s="31">
        <v>216</v>
      </c>
      <c r="H67" s="31">
        <v>164</v>
      </c>
      <c r="I67" s="31">
        <v>124</v>
      </c>
      <c r="J67" s="31">
        <v>93</v>
      </c>
      <c r="K67" s="31">
        <v>71</v>
      </c>
      <c r="L67" s="35">
        <v>49</v>
      </c>
    </row>
    <row r="68" spans="1:12" ht="13.9" x14ac:dyDescent="0.35">
      <c r="A68" s="15">
        <v>2014</v>
      </c>
      <c r="B68" s="31">
        <v>578</v>
      </c>
      <c r="C68" s="31">
        <v>433</v>
      </c>
      <c r="D68" s="31">
        <v>320</v>
      </c>
      <c r="E68" s="31">
        <v>228</v>
      </c>
      <c r="F68" s="31">
        <v>176</v>
      </c>
      <c r="G68" s="31">
        <v>127</v>
      </c>
      <c r="H68" s="31">
        <v>88</v>
      </c>
      <c r="I68" s="31">
        <v>64</v>
      </c>
      <c r="J68" s="31">
        <v>45</v>
      </c>
      <c r="K68" s="31">
        <v>27</v>
      </c>
      <c r="L68" s="35">
        <v>14</v>
      </c>
    </row>
    <row r="69" spans="1:12" ht="13.9" x14ac:dyDescent="0.35">
      <c r="A69" s="15">
        <v>2015</v>
      </c>
      <c r="B69" s="31">
        <v>832</v>
      </c>
      <c r="C69" s="31">
        <v>708</v>
      </c>
      <c r="D69" s="31">
        <v>615</v>
      </c>
      <c r="E69" s="31">
        <v>521</v>
      </c>
      <c r="F69" s="31">
        <v>429</v>
      </c>
      <c r="G69" s="31">
        <v>346</v>
      </c>
      <c r="H69" s="31">
        <v>288</v>
      </c>
      <c r="I69" s="31">
        <v>239</v>
      </c>
      <c r="J69" s="31">
        <v>193</v>
      </c>
      <c r="K69" s="31">
        <v>147</v>
      </c>
      <c r="L69" s="35">
        <v>107</v>
      </c>
    </row>
    <row r="70" spans="1:12" ht="13.9" x14ac:dyDescent="0.35">
      <c r="A70" s="15">
        <v>2016</v>
      </c>
      <c r="B70" s="31">
        <v>730</v>
      </c>
      <c r="C70" s="31">
        <v>582</v>
      </c>
      <c r="D70" s="31">
        <v>456</v>
      </c>
      <c r="E70" s="31">
        <v>337</v>
      </c>
      <c r="F70" s="31">
        <v>244</v>
      </c>
      <c r="G70" s="31">
        <v>169</v>
      </c>
      <c r="H70" s="31">
        <v>121</v>
      </c>
      <c r="I70" s="31">
        <v>83</v>
      </c>
      <c r="J70" s="31">
        <v>59</v>
      </c>
      <c r="K70" s="31">
        <v>30</v>
      </c>
      <c r="L70" s="35">
        <v>11</v>
      </c>
    </row>
    <row r="71" spans="1:12" ht="13.9" x14ac:dyDescent="0.35">
      <c r="A71" s="15">
        <v>2017</v>
      </c>
      <c r="B71" s="31">
        <v>776</v>
      </c>
      <c r="C71" s="31">
        <v>634</v>
      </c>
      <c r="D71" s="31">
        <v>492</v>
      </c>
      <c r="E71" s="31">
        <v>365</v>
      </c>
      <c r="F71" s="31">
        <v>271</v>
      </c>
      <c r="G71" s="31">
        <v>190</v>
      </c>
      <c r="H71" s="31">
        <v>128</v>
      </c>
      <c r="I71" s="31">
        <v>83</v>
      </c>
      <c r="J71" s="31">
        <v>46</v>
      </c>
      <c r="K71" s="31">
        <v>26</v>
      </c>
      <c r="L71" s="35">
        <v>9</v>
      </c>
    </row>
    <row r="72" spans="1:12" ht="13.9" x14ac:dyDescent="0.35">
      <c r="A72" s="15">
        <v>2018</v>
      </c>
      <c r="B72" s="31">
        <v>1220</v>
      </c>
      <c r="C72" s="31">
        <v>1024</v>
      </c>
      <c r="D72" s="31">
        <v>821</v>
      </c>
      <c r="E72" s="31">
        <v>662</v>
      </c>
      <c r="F72" s="31">
        <v>522</v>
      </c>
      <c r="G72" s="31">
        <v>379</v>
      </c>
      <c r="H72" s="31">
        <v>259</v>
      </c>
      <c r="I72" s="31">
        <v>180</v>
      </c>
      <c r="J72" s="31">
        <v>105</v>
      </c>
      <c r="K72" s="31">
        <v>66</v>
      </c>
      <c r="L72" s="35">
        <v>37</v>
      </c>
    </row>
    <row r="73" spans="1:12" ht="13.9" x14ac:dyDescent="0.35">
      <c r="A73" s="15">
        <v>2019</v>
      </c>
      <c r="B73" s="31">
        <v>891</v>
      </c>
      <c r="C73" s="31">
        <v>723</v>
      </c>
      <c r="D73" s="31">
        <v>579</v>
      </c>
      <c r="E73" s="31">
        <v>464</v>
      </c>
      <c r="F73" s="31">
        <v>355</v>
      </c>
      <c r="G73" s="31">
        <v>280</v>
      </c>
      <c r="H73" s="31">
        <v>220</v>
      </c>
      <c r="I73" s="31">
        <v>161</v>
      </c>
      <c r="J73" s="31">
        <v>108</v>
      </c>
      <c r="K73" s="31">
        <v>71</v>
      </c>
      <c r="L73" s="35">
        <v>57</v>
      </c>
    </row>
    <row r="74" spans="1:12" ht="13.9" x14ac:dyDescent="0.35">
      <c r="A74" s="15">
        <v>2020</v>
      </c>
      <c r="B74" s="31">
        <v>765</v>
      </c>
      <c r="C74" s="31">
        <v>607</v>
      </c>
      <c r="D74" s="31">
        <v>466</v>
      </c>
      <c r="E74" s="31">
        <v>355</v>
      </c>
      <c r="F74" s="31">
        <v>263</v>
      </c>
      <c r="G74" s="31">
        <v>195</v>
      </c>
      <c r="H74" s="31">
        <v>135</v>
      </c>
      <c r="I74" s="31">
        <v>88</v>
      </c>
      <c r="J74" s="31">
        <v>67</v>
      </c>
      <c r="K74" s="31">
        <v>54</v>
      </c>
      <c r="L74" s="35">
        <v>37</v>
      </c>
    </row>
    <row r="75" spans="1:12" ht="13.9" x14ac:dyDescent="0.35">
      <c r="A75" s="15">
        <v>2021</v>
      </c>
      <c r="B75" s="31">
        <v>614</v>
      </c>
      <c r="C75" s="31">
        <v>469</v>
      </c>
      <c r="D75" s="31">
        <v>333</v>
      </c>
      <c r="E75" s="31">
        <v>216</v>
      </c>
      <c r="F75" s="31">
        <v>143</v>
      </c>
      <c r="G75" s="31">
        <v>91</v>
      </c>
      <c r="H75" s="31">
        <v>56</v>
      </c>
      <c r="I75" s="31">
        <v>37</v>
      </c>
      <c r="J75" s="31">
        <v>20</v>
      </c>
      <c r="K75" s="31">
        <v>14</v>
      </c>
      <c r="L75" s="35">
        <v>5</v>
      </c>
    </row>
    <row r="76" spans="1:12" ht="13.9" x14ac:dyDescent="0.35">
      <c r="A76" s="15">
        <v>2022</v>
      </c>
      <c r="B76" s="31">
        <v>987</v>
      </c>
      <c r="C76" s="31">
        <v>818</v>
      </c>
      <c r="D76" s="31">
        <v>689</v>
      </c>
      <c r="E76" s="31">
        <v>555</v>
      </c>
      <c r="F76" s="31">
        <v>443</v>
      </c>
      <c r="G76" s="31">
        <v>316</v>
      </c>
      <c r="H76" s="31">
        <v>218</v>
      </c>
      <c r="I76" s="31">
        <v>167</v>
      </c>
      <c r="J76" s="31">
        <v>111</v>
      </c>
      <c r="K76" s="31">
        <v>77</v>
      </c>
      <c r="L76" s="35">
        <v>57</v>
      </c>
    </row>
    <row r="77" spans="1:12" ht="13.9" x14ac:dyDescent="0.35">
      <c r="A77" s="15">
        <v>2023</v>
      </c>
      <c r="B77" s="31">
        <v>946</v>
      </c>
      <c r="C77" s="31">
        <v>754</v>
      </c>
      <c r="D77" s="31">
        <v>582</v>
      </c>
      <c r="E77" s="31">
        <v>453</v>
      </c>
      <c r="F77" s="31">
        <v>342</v>
      </c>
      <c r="G77" s="31">
        <v>255</v>
      </c>
      <c r="H77" s="31">
        <v>183</v>
      </c>
      <c r="I77" s="31">
        <v>120</v>
      </c>
      <c r="J77" s="31">
        <v>83</v>
      </c>
      <c r="K77" s="31">
        <v>48</v>
      </c>
      <c r="L77" s="35">
        <v>29</v>
      </c>
    </row>
    <row r="78" spans="1:12" ht="14.25" thickBot="1" x14ac:dyDescent="0.4">
      <c r="A78" s="15">
        <v>2024</v>
      </c>
      <c r="B78" s="31">
        <v>890</v>
      </c>
      <c r="C78" s="31">
        <v>725</v>
      </c>
      <c r="D78" s="31">
        <v>558</v>
      </c>
      <c r="E78" s="31">
        <v>438</v>
      </c>
      <c r="F78" s="31">
        <v>347</v>
      </c>
      <c r="G78" s="31">
        <v>258</v>
      </c>
      <c r="H78" s="31">
        <v>178</v>
      </c>
      <c r="I78" s="31">
        <v>110</v>
      </c>
      <c r="J78" s="31">
        <v>76</v>
      </c>
      <c r="K78" s="31">
        <v>45</v>
      </c>
      <c r="L78" s="35">
        <v>21</v>
      </c>
    </row>
    <row r="79" spans="1:12" ht="14.25" thickBot="1" x14ac:dyDescent="0.45">
      <c r="A79" s="18" t="s">
        <v>31</v>
      </c>
      <c r="B79" s="25">
        <v>717.5</v>
      </c>
      <c r="C79" s="26">
        <v>573.5</v>
      </c>
      <c r="D79" s="26">
        <v>448.5</v>
      </c>
      <c r="E79" s="26">
        <v>344</v>
      </c>
      <c r="F79" s="26">
        <v>269.5</v>
      </c>
      <c r="G79" s="26">
        <v>196</v>
      </c>
      <c r="H79" s="26">
        <v>135</v>
      </c>
      <c r="I79" s="26">
        <v>77.5</v>
      </c>
      <c r="J79" s="26">
        <v>46</v>
      </c>
      <c r="K79" s="26">
        <v>23</v>
      </c>
      <c r="L79" s="27">
        <v>10.5</v>
      </c>
    </row>
    <row r="80" spans="1:12" ht="14.25" thickBot="1" x14ac:dyDescent="0.4">
      <c r="A80" s="17" t="s">
        <v>32</v>
      </c>
      <c r="B80" s="28">
        <v>243.9518395093589</v>
      </c>
      <c r="C80" s="29">
        <v>214.2533546995239</v>
      </c>
      <c r="D80" s="29">
        <v>154.85638507985391</v>
      </c>
      <c r="E80" s="29">
        <v>132.93607486307093</v>
      </c>
      <c r="F80" s="29">
        <v>109.60155108391487</v>
      </c>
      <c r="G80" s="29">
        <v>87.681240867131891</v>
      </c>
      <c r="H80" s="29">
        <v>60.811183182043088</v>
      </c>
      <c r="I80" s="29">
        <v>45.961940777125591</v>
      </c>
      <c r="J80" s="29">
        <v>42.426406871192853</v>
      </c>
      <c r="K80" s="29">
        <v>31.11269837220809</v>
      </c>
      <c r="L80" s="30">
        <v>14.849242404917497</v>
      </c>
    </row>
    <row r="83" spans="1:12" x14ac:dyDescent="0.35">
      <c r="A83" t="s">
        <v>9</v>
      </c>
    </row>
    <row r="84" spans="1:12" ht="13.9" thickBot="1" x14ac:dyDescent="0.4"/>
    <row r="85" spans="1:12" ht="14.25" thickBot="1" x14ac:dyDescent="0.45">
      <c r="A85" s="11"/>
      <c r="B85" s="12">
        <v>22</v>
      </c>
      <c r="C85" s="13">
        <v>23</v>
      </c>
      <c r="D85" s="13">
        <v>24</v>
      </c>
      <c r="E85" s="13">
        <v>25</v>
      </c>
      <c r="F85" s="13">
        <v>26</v>
      </c>
      <c r="G85" s="13">
        <v>27</v>
      </c>
      <c r="H85" s="13">
        <v>28</v>
      </c>
      <c r="I85" s="13">
        <v>29</v>
      </c>
      <c r="J85" s="13">
        <v>30</v>
      </c>
      <c r="K85" s="13">
        <v>31</v>
      </c>
      <c r="L85" s="14">
        <v>32</v>
      </c>
    </row>
    <row r="86" spans="1:12" ht="13.9" x14ac:dyDescent="0.35">
      <c r="A86" s="15">
        <v>2004</v>
      </c>
      <c r="B86" s="31">
        <v>8239</v>
      </c>
      <c r="C86" s="31">
        <v>8362</v>
      </c>
      <c r="D86" s="31">
        <v>8445</v>
      </c>
      <c r="E86" s="31">
        <v>8534</v>
      </c>
      <c r="F86" s="31">
        <v>8592</v>
      </c>
      <c r="G86" s="31">
        <v>8650</v>
      </c>
      <c r="H86" s="31">
        <v>8692</v>
      </c>
      <c r="I86" s="31">
        <v>8739</v>
      </c>
      <c r="J86" s="31">
        <v>8768</v>
      </c>
      <c r="K86" s="31">
        <v>8783</v>
      </c>
      <c r="L86" s="35">
        <v>8784</v>
      </c>
    </row>
    <row r="87" spans="1:12" ht="13.9" x14ac:dyDescent="0.35">
      <c r="A87" s="15">
        <v>2005</v>
      </c>
      <c r="B87" s="31">
        <v>8165</v>
      </c>
      <c r="C87" s="31">
        <v>8280</v>
      </c>
      <c r="D87" s="31">
        <v>8369</v>
      </c>
      <c r="E87" s="31">
        <v>8452</v>
      </c>
      <c r="F87" s="31">
        <v>8518</v>
      </c>
      <c r="G87" s="31">
        <v>8590</v>
      </c>
      <c r="H87" s="31">
        <v>8636</v>
      </c>
      <c r="I87" s="31">
        <v>8679</v>
      </c>
      <c r="J87" s="31">
        <v>8712</v>
      </c>
      <c r="K87" s="31">
        <v>8732</v>
      </c>
      <c r="L87" s="35">
        <v>8746</v>
      </c>
    </row>
    <row r="88" spans="1:12" ht="13.9" x14ac:dyDescent="0.35">
      <c r="A88" s="15">
        <v>2006</v>
      </c>
      <c r="B88" s="31">
        <v>8030</v>
      </c>
      <c r="C88" s="31">
        <v>8166</v>
      </c>
      <c r="D88" s="31">
        <v>8286</v>
      </c>
      <c r="E88" s="31">
        <v>8371</v>
      </c>
      <c r="F88" s="31">
        <v>8455</v>
      </c>
      <c r="G88" s="31">
        <v>8540</v>
      </c>
      <c r="H88" s="31">
        <v>8606</v>
      </c>
      <c r="I88" s="31">
        <v>8654</v>
      </c>
      <c r="J88" s="31">
        <v>8685</v>
      </c>
      <c r="K88" s="31">
        <v>8714</v>
      </c>
      <c r="L88" s="35">
        <v>8729</v>
      </c>
    </row>
    <row r="89" spans="1:12" ht="13.9" x14ac:dyDescent="0.35">
      <c r="A89" s="15">
        <v>2007</v>
      </c>
      <c r="B89" s="31">
        <v>8175</v>
      </c>
      <c r="C89" s="31">
        <v>8317</v>
      </c>
      <c r="D89" s="31">
        <v>8447</v>
      </c>
      <c r="E89" s="31">
        <v>8527</v>
      </c>
      <c r="F89" s="31">
        <v>8606</v>
      </c>
      <c r="G89" s="31">
        <v>8664</v>
      </c>
      <c r="H89" s="31">
        <v>8702</v>
      </c>
      <c r="I89" s="31">
        <v>8729</v>
      </c>
      <c r="J89" s="31">
        <v>8740</v>
      </c>
      <c r="K89" s="31">
        <v>8745</v>
      </c>
      <c r="L89" s="35">
        <v>8748</v>
      </c>
    </row>
    <row r="90" spans="1:12" ht="13.9" x14ac:dyDescent="0.35">
      <c r="A90" s="15">
        <v>2008</v>
      </c>
      <c r="B90" s="31">
        <v>8180</v>
      </c>
      <c r="C90" s="31">
        <v>8328</v>
      </c>
      <c r="D90" s="31">
        <v>8446</v>
      </c>
      <c r="E90" s="31">
        <v>8532</v>
      </c>
      <c r="F90" s="31">
        <v>8592</v>
      </c>
      <c r="G90" s="31">
        <v>8652</v>
      </c>
      <c r="H90" s="31">
        <v>8689</v>
      </c>
      <c r="I90" s="31">
        <v>8723</v>
      </c>
      <c r="J90" s="31">
        <v>8753</v>
      </c>
      <c r="K90" s="31">
        <v>8777</v>
      </c>
      <c r="L90" s="35">
        <v>8784</v>
      </c>
    </row>
    <row r="91" spans="1:12" ht="13.9" x14ac:dyDescent="0.35">
      <c r="A91" s="15">
        <v>2009</v>
      </c>
      <c r="B91" s="31">
        <v>8159</v>
      </c>
      <c r="C91" s="31">
        <v>8322</v>
      </c>
      <c r="D91" s="31">
        <v>8421</v>
      </c>
      <c r="E91" s="31">
        <v>8519</v>
      </c>
      <c r="F91" s="31">
        <v>8611</v>
      </c>
      <c r="G91" s="31">
        <v>8675</v>
      </c>
      <c r="H91" s="31">
        <v>8714</v>
      </c>
      <c r="I91" s="31">
        <v>8733</v>
      </c>
      <c r="J91" s="31">
        <v>8748</v>
      </c>
      <c r="K91" s="31">
        <v>8750</v>
      </c>
      <c r="L91" s="35">
        <v>8756</v>
      </c>
    </row>
    <row r="92" spans="1:12" ht="13.9" x14ac:dyDescent="0.35">
      <c r="A92" s="15">
        <v>2010</v>
      </c>
      <c r="B92" s="31">
        <v>8209</v>
      </c>
      <c r="C92" s="31">
        <v>8305</v>
      </c>
      <c r="D92" s="31">
        <v>8385</v>
      </c>
      <c r="E92" s="31">
        <v>8443</v>
      </c>
      <c r="F92" s="31">
        <v>8511</v>
      </c>
      <c r="G92" s="31">
        <v>8572</v>
      </c>
      <c r="H92" s="31">
        <v>8626</v>
      </c>
      <c r="I92" s="31">
        <v>8665</v>
      </c>
      <c r="J92" s="31">
        <v>8685</v>
      </c>
      <c r="K92" s="31">
        <v>8704</v>
      </c>
      <c r="L92" s="35">
        <v>8725</v>
      </c>
    </row>
    <row r="93" spans="1:12" ht="13.9" x14ac:dyDescent="0.35">
      <c r="A93" s="15">
        <v>2011</v>
      </c>
      <c r="B93" s="31">
        <v>8095</v>
      </c>
      <c r="C93" s="31">
        <v>8252</v>
      </c>
      <c r="D93" s="31">
        <v>8404</v>
      </c>
      <c r="E93" s="31">
        <v>8518</v>
      </c>
      <c r="F93" s="31">
        <v>8592</v>
      </c>
      <c r="G93" s="31">
        <v>8643</v>
      </c>
      <c r="H93" s="31">
        <v>8693</v>
      </c>
      <c r="I93" s="31">
        <v>8720</v>
      </c>
      <c r="J93" s="31">
        <v>8735</v>
      </c>
      <c r="K93" s="31">
        <v>8747</v>
      </c>
      <c r="L93" s="35">
        <v>8752</v>
      </c>
    </row>
    <row r="94" spans="1:12" ht="13.9" x14ac:dyDescent="0.35">
      <c r="A94" s="15">
        <v>2012</v>
      </c>
      <c r="B94" s="31">
        <v>7978</v>
      </c>
      <c r="C94" s="31">
        <v>8147</v>
      </c>
      <c r="D94" s="31">
        <v>8303</v>
      </c>
      <c r="E94" s="31">
        <v>8418</v>
      </c>
      <c r="F94" s="31">
        <v>8518</v>
      </c>
      <c r="G94" s="31">
        <v>8588</v>
      </c>
      <c r="H94" s="31">
        <v>8640</v>
      </c>
      <c r="I94" s="31">
        <v>8677</v>
      </c>
      <c r="J94" s="31">
        <v>8714</v>
      </c>
      <c r="K94" s="31">
        <v>8742</v>
      </c>
      <c r="L94" s="35">
        <v>8751</v>
      </c>
    </row>
    <row r="95" spans="1:12" ht="13.9" x14ac:dyDescent="0.35">
      <c r="A95" s="15">
        <v>2013</v>
      </c>
      <c r="B95" s="31">
        <v>8072</v>
      </c>
      <c r="C95" s="31">
        <v>8206</v>
      </c>
      <c r="D95" s="31">
        <v>8322</v>
      </c>
      <c r="E95" s="31">
        <v>8408</v>
      </c>
      <c r="F95" s="31">
        <v>8480</v>
      </c>
      <c r="G95" s="31">
        <v>8544</v>
      </c>
      <c r="H95" s="31">
        <v>8596</v>
      </c>
      <c r="I95" s="31">
        <v>8636</v>
      </c>
      <c r="J95" s="31">
        <v>8667</v>
      </c>
      <c r="K95" s="31">
        <v>8689</v>
      </c>
      <c r="L95" s="35">
        <v>8711</v>
      </c>
    </row>
    <row r="96" spans="1:12" ht="13.9" x14ac:dyDescent="0.35">
      <c r="A96" s="15">
        <v>2014</v>
      </c>
      <c r="B96" s="31">
        <v>8182</v>
      </c>
      <c r="C96" s="31">
        <v>8327</v>
      </c>
      <c r="D96" s="31">
        <v>8440</v>
      </c>
      <c r="E96" s="31">
        <v>8532</v>
      </c>
      <c r="F96" s="31">
        <v>8584</v>
      </c>
      <c r="G96" s="31">
        <v>8633</v>
      </c>
      <c r="H96" s="31">
        <v>8672</v>
      </c>
      <c r="I96" s="31">
        <v>8696</v>
      </c>
      <c r="J96" s="31">
        <v>8715</v>
      </c>
      <c r="K96" s="31">
        <v>8733</v>
      </c>
      <c r="L96" s="35">
        <v>8746</v>
      </c>
    </row>
    <row r="97" spans="1:12" ht="13.9" x14ac:dyDescent="0.35">
      <c r="A97" s="15">
        <v>2015</v>
      </c>
      <c r="B97" s="31">
        <v>7928</v>
      </c>
      <c r="C97" s="31">
        <v>8052</v>
      </c>
      <c r="D97" s="31">
        <v>8145</v>
      </c>
      <c r="E97" s="31">
        <v>8239</v>
      </c>
      <c r="F97" s="31">
        <v>8331</v>
      </c>
      <c r="G97" s="31">
        <v>8414</v>
      </c>
      <c r="H97" s="31">
        <v>8472</v>
      </c>
      <c r="I97" s="31">
        <v>8521</v>
      </c>
      <c r="J97" s="31">
        <v>8567</v>
      </c>
      <c r="K97" s="31">
        <v>8613</v>
      </c>
      <c r="L97" s="35">
        <v>8653</v>
      </c>
    </row>
    <row r="98" spans="1:12" ht="13.9" x14ac:dyDescent="0.35">
      <c r="A98" s="15">
        <v>2016</v>
      </c>
      <c r="B98" s="31">
        <v>8054</v>
      </c>
      <c r="C98" s="31">
        <v>8202</v>
      </c>
      <c r="D98" s="31">
        <v>8328</v>
      </c>
      <c r="E98" s="31">
        <v>8447</v>
      </c>
      <c r="F98" s="31">
        <v>8540</v>
      </c>
      <c r="G98" s="31">
        <v>8615</v>
      </c>
      <c r="H98" s="31">
        <v>8663</v>
      </c>
      <c r="I98" s="31">
        <v>8701</v>
      </c>
      <c r="J98" s="31">
        <v>8725</v>
      </c>
      <c r="K98" s="31">
        <v>8754</v>
      </c>
      <c r="L98" s="35">
        <v>8773</v>
      </c>
    </row>
    <row r="99" spans="1:12" ht="13.9" x14ac:dyDescent="0.35">
      <c r="A99" s="15">
        <v>2017</v>
      </c>
      <c r="B99" s="31">
        <v>7984</v>
      </c>
      <c r="C99" s="31">
        <v>8126</v>
      </c>
      <c r="D99" s="31">
        <v>8268</v>
      </c>
      <c r="E99" s="31">
        <v>8395</v>
      </c>
      <c r="F99" s="31">
        <v>8489</v>
      </c>
      <c r="G99" s="31">
        <v>8570</v>
      </c>
      <c r="H99" s="31">
        <v>8632</v>
      </c>
      <c r="I99" s="31">
        <v>8677</v>
      </c>
      <c r="J99" s="31">
        <v>8714</v>
      </c>
      <c r="K99" s="31">
        <v>8734</v>
      </c>
      <c r="L99" s="35">
        <v>8751</v>
      </c>
    </row>
    <row r="100" spans="1:12" ht="13.9" x14ac:dyDescent="0.35">
      <c r="A100" s="15">
        <v>2018</v>
      </c>
      <c r="B100" s="31">
        <v>7540</v>
      </c>
      <c r="C100" s="31">
        <v>7736</v>
      </c>
      <c r="D100" s="31">
        <v>7939</v>
      </c>
      <c r="E100" s="31">
        <v>8098</v>
      </c>
      <c r="F100" s="31">
        <v>8238</v>
      </c>
      <c r="G100" s="31">
        <v>8381</v>
      </c>
      <c r="H100" s="31">
        <v>8501</v>
      </c>
      <c r="I100" s="31">
        <v>8580</v>
      </c>
      <c r="J100" s="31">
        <v>8655</v>
      </c>
      <c r="K100" s="31">
        <v>8694</v>
      </c>
      <c r="L100" s="35">
        <v>8723</v>
      </c>
    </row>
    <row r="101" spans="1:12" ht="13.9" x14ac:dyDescent="0.35">
      <c r="A101" s="15">
        <v>2019</v>
      </c>
      <c r="B101" s="31">
        <v>7869</v>
      </c>
      <c r="C101" s="31">
        <v>8037</v>
      </c>
      <c r="D101" s="31">
        <v>8181</v>
      </c>
      <c r="E101" s="31">
        <v>8296</v>
      </c>
      <c r="F101" s="31">
        <v>8405</v>
      </c>
      <c r="G101" s="31">
        <v>8480</v>
      </c>
      <c r="H101" s="31">
        <v>8540</v>
      </c>
      <c r="I101" s="31">
        <v>8599</v>
      </c>
      <c r="J101" s="31">
        <v>8652</v>
      </c>
      <c r="K101" s="31">
        <v>8689</v>
      </c>
      <c r="L101" s="35">
        <v>8703</v>
      </c>
    </row>
    <row r="102" spans="1:12" ht="13.9" x14ac:dyDescent="0.35">
      <c r="A102" s="15">
        <v>2020</v>
      </c>
      <c r="B102" s="31">
        <v>8019</v>
      </c>
      <c r="C102" s="31">
        <v>8177</v>
      </c>
      <c r="D102" s="31">
        <v>8318</v>
      </c>
      <c r="E102" s="31">
        <v>8429</v>
      </c>
      <c r="F102" s="31">
        <v>8521</v>
      </c>
      <c r="G102" s="31">
        <v>8589</v>
      </c>
      <c r="H102" s="31">
        <v>8649</v>
      </c>
      <c r="I102" s="31">
        <v>8696</v>
      </c>
      <c r="J102" s="31">
        <v>8717</v>
      </c>
      <c r="K102" s="31">
        <v>8730</v>
      </c>
      <c r="L102" s="35">
        <v>8747</v>
      </c>
    </row>
    <row r="103" spans="1:12" ht="13.9" x14ac:dyDescent="0.35">
      <c r="A103" s="15">
        <v>2021</v>
      </c>
      <c r="B103" s="31">
        <v>8146</v>
      </c>
      <c r="C103" s="31">
        <v>8291</v>
      </c>
      <c r="D103" s="31">
        <v>8427</v>
      </c>
      <c r="E103" s="31">
        <v>8544</v>
      </c>
      <c r="F103" s="31">
        <v>8617</v>
      </c>
      <c r="G103" s="31">
        <v>8669</v>
      </c>
      <c r="H103" s="31">
        <v>8704</v>
      </c>
      <c r="I103" s="31">
        <v>8723</v>
      </c>
      <c r="J103" s="31">
        <v>8740</v>
      </c>
      <c r="K103" s="31">
        <v>8746</v>
      </c>
      <c r="L103" s="35">
        <v>8755</v>
      </c>
    </row>
    <row r="104" spans="1:12" ht="13.9" x14ac:dyDescent="0.35">
      <c r="A104" s="15">
        <v>2022</v>
      </c>
      <c r="B104" s="31">
        <v>7773</v>
      </c>
      <c r="C104" s="31">
        <v>7942</v>
      </c>
      <c r="D104" s="31">
        <v>8071</v>
      </c>
      <c r="E104" s="31">
        <v>8205</v>
      </c>
      <c r="F104" s="31">
        <v>8317</v>
      </c>
      <c r="G104" s="31">
        <v>8444</v>
      </c>
      <c r="H104" s="31">
        <v>8542</v>
      </c>
      <c r="I104" s="31">
        <v>8593</v>
      </c>
      <c r="J104" s="31">
        <v>8649</v>
      </c>
      <c r="K104" s="31">
        <v>8683</v>
      </c>
      <c r="L104" s="35">
        <v>8703</v>
      </c>
    </row>
    <row r="105" spans="1:12" ht="13.9" x14ac:dyDescent="0.35">
      <c r="A105" s="15">
        <v>2023</v>
      </c>
      <c r="B105" s="31">
        <v>7814</v>
      </c>
      <c r="C105" s="31">
        <v>8006</v>
      </c>
      <c r="D105" s="31">
        <v>8178</v>
      </c>
      <c r="E105" s="31">
        <v>8307</v>
      </c>
      <c r="F105" s="31">
        <v>8418</v>
      </c>
      <c r="G105" s="31">
        <v>8505</v>
      </c>
      <c r="H105" s="31">
        <v>8577</v>
      </c>
      <c r="I105" s="31">
        <v>8640</v>
      </c>
      <c r="J105" s="31">
        <v>8677</v>
      </c>
      <c r="K105" s="31">
        <v>8712</v>
      </c>
      <c r="L105" s="35">
        <v>8731</v>
      </c>
    </row>
    <row r="106" spans="1:12" ht="14.25" thickBot="1" x14ac:dyDescent="0.4">
      <c r="A106" s="15">
        <v>2024</v>
      </c>
      <c r="B106" s="31">
        <v>7894</v>
      </c>
      <c r="C106" s="31">
        <v>8059</v>
      </c>
      <c r="D106" s="31">
        <v>8226</v>
      </c>
      <c r="E106" s="31">
        <v>8346</v>
      </c>
      <c r="F106" s="31">
        <v>8437</v>
      </c>
      <c r="G106" s="31">
        <v>8526</v>
      </c>
      <c r="H106" s="31">
        <v>8606</v>
      </c>
      <c r="I106" s="31">
        <v>8674</v>
      </c>
      <c r="J106" s="31">
        <v>8708</v>
      </c>
      <c r="K106" s="31">
        <v>8739</v>
      </c>
      <c r="L106" s="35">
        <v>8763</v>
      </c>
    </row>
    <row r="107" spans="1:12" ht="14.25" thickBot="1" x14ac:dyDescent="0.45">
      <c r="A107" s="18" t="s">
        <v>31</v>
      </c>
      <c r="B107" s="25">
        <v>8066.5</v>
      </c>
      <c r="C107" s="26">
        <v>8210.5</v>
      </c>
      <c r="D107" s="26">
        <v>8335.5</v>
      </c>
      <c r="E107" s="26">
        <v>8440</v>
      </c>
      <c r="F107" s="26">
        <v>8514.5</v>
      </c>
      <c r="G107" s="26">
        <v>8588</v>
      </c>
      <c r="H107" s="26">
        <v>8649</v>
      </c>
      <c r="I107" s="26">
        <v>8706.5</v>
      </c>
      <c r="J107" s="26">
        <v>8738</v>
      </c>
      <c r="K107" s="26">
        <v>8761</v>
      </c>
      <c r="L107" s="27">
        <v>8773.5</v>
      </c>
    </row>
    <row r="108" spans="1:12" ht="14.25" thickBot="1" x14ac:dyDescent="0.4">
      <c r="A108" s="17" t="s">
        <v>32</v>
      </c>
      <c r="B108" s="28">
        <v>243.9518395093589</v>
      </c>
      <c r="C108" s="29">
        <v>214.2533546995239</v>
      </c>
      <c r="D108" s="29">
        <v>154.85638507985391</v>
      </c>
      <c r="E108" s="29">
        <v>132.93607486307093</v>
      </c>
      <c r="F108" s="29">
        <v>109.60155108391487</v>
      </c>
      <c r="G108" s="29">
        <v>87.681240867131891</v>
      </c>
      <c r="H108" s="29">
        <v>60.811183182043088</v>
      </c>
      <c r="I108" s="29">
        <v>45.961940777125591</v>
      </c>
      <c r="J108" s="29">
        <v>42.426406871192853</v>
      </c>
      <c r="K108" s="29">
        <v>31.11269837220809</v>
      </c>
      <c r="L108" s="30">
        <v>14.849242404917497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5BF2E-899E-472F-86DE-C073EFBCAE94}">
  <sheetPr codeName="Tabelle3"/>
  <dimension ref="A1:M52"/>
  <sheetViews>
    <sheetView tabSelected="1" zoomScale="109" workbookViewId="0">
      <selection activeCell="K13" sqref="K13"/>
    </sheetView>
  </sheetViews>
  <sheetFormatPr baseColWidth="10" defaultRowHeight="13.5" x14ac:dyDescent="0.35"/>
  <cols>
    <col min="5" max="5" width="11.1875" customWidth="1"/>
  </cols>
  <sheetData>
    <row r="1" spans="1:13" ht="17.649999999999999" x14ac:dyDescent="0.5">
      <c r="A1" s="1" t="s">
        <v>29</v>
      </c>
      <c r="B1" s="1"/>
      <c r="C1" s="1"/>
      <c r="D1" s="1"/>
      <c r="E1" s="1"/>
      <c r="F1" s="1"/>
      <c r="G1" s="1"/>
      <c r="H1" s="1"/>
      <c r="I1" s="10"/>
      <c r="J1" s="10"/>
      <c r="K1" s="10"/>
      <c r="L1" s="10"/>
      <c r="M1" s="10"/>
    </row>
    <row r="2" spans="1:13" ht="13.9" x14ac:dyDescent="0.4">
      <c r="A2" s="2" t="s">
        <v>11</v>
      </c>
      <c r="B2" s="3"/>
      <c r="C2" s="3"/>
      <c r="D2" s="3"/>
      <c r="E2" s="3"/>
      <c r="F2" s="3"/>
      <c r="G2" s="3"/>
      <c r="H2" s="3"/>
    </row>
    <row r="4" spans="1:13" ht="13.9" x14ac:dyDescent="0.4">
      <c r="A4" s="4" t="s">
        <v>12</v>
      </c>
      <c r="B4" s="4"/>
      <c r="C4" s="4"/>
      <c r="D4" s="4"/>
      <c r="E4" s="4"/>
      <c r="F4" s="4"/>
      <c r="G4" s="4"/>
      <c r="H4" s="4"/>
      <c r="I4" s="5"/>
      <c r="J4" s="5"/>
      <c r="K4" s="5"/>
      <c r="L4" s="5"/>
      <c r="M4" s="5"/>
    </row>
    <row r="11" spans="1:13" ht="13.9" x14ac:dyDescent="0.4">
      <c r="A11" s="4" t="s">
        <v>15</v>
      </c>
      <c r="B11" s="4"/>
      <c r="C11" s="4"/>
      <c r="D11" s="4"/>
      <c r="E11" s="4"/>
      <c r="F11" s="4"/>
      <c r="G11" s="4"/>
      <c r="H11" s="4"/>
      <c r="I11" s="5"/>
      <c r="J11" s="5"/>
      <c r="K11" s="5"/>
      <c r="L11" s="5"/>
      <c r="M11" s="5"/>
    </row>
    <row r="13" spans="1:13" ht="13.9" x14ac:dyDescent="0.4">
      <c r="B13" s="42" t="s">
        <v>22</v>
      </c>
      <c r="C13" s="31">
        <v>1.5</v>
      </c>
      <c r="E13" s="43"/>
      <c r="F13" s="48">
        <f>1/C13</f>
        <v>0.66666666666666663</v>
      </c>
    </row>
    <row r="14" spans="1:13" x14ac:dyDescent="0.35">
      <c r="B14" s="43" t="s">
        <v>23</v>
      </c>
      <c r="C14" s="44">
        <v>0.15</v>
      </c>
      <c r="E14" s="43"/>
      <c r="F14" s="31">
        <v>0.255</v>
      </c>
    </row>
    <row r="15" spans="1:13" x14ac:dyDescent="0.35">
      <c r="B15" s="43" t="s">
        <v>24</v>
      </c>
      <c r="C15" s="44">
        <v>0.05</v>
      </c>
    </row>
    <row r="18" spans="1:13" ht="13.9" x14ac:dyDescent="0.4">
      <c r="A18" s="4" t="s">
        <v>14</v>
      </c>
      <c r="B18" s="4"/>
      <c r="C18" s="4"/>
      <c r="D18" s="4"/>
      <c r="E18" s="4"/>
      <c r="F18" s="4"/>
      <c r="G18" s="4"/>
      <c r="H18" s="4"/>
      <c r="I18" s="5"/>
      <c r="J18" s="5"/>
      <c r="K18" s="5"/>
      <c r="L18" s="5"/>
      <c r="M18" s="5"/>
    </row>
    <row r="39" spans="1:13" ht="13.9" x14ac:dyDescent="0.4">
      <c r="A39" s="4" t="s">
        <v>13</v>
      </c>
      <c r="B39" s="4"/>
      <c r="C39" s="4"/>
      <c r="D39" s="4"/>
      <c r="E39" s="4"/>
      <c r="F39" s="4"/>
      <c r="G39" s="4"/>
      <c r="H39" s="4"/>
      <c r="I39" s="5"/>
      <c r="J39" s="5"/>
      <c r="K39" s="5"/>
      <c r="L39" s="5"/>
      <c r="M39" s="5"/>
    </row>
    <row r="40" spans="1:13" ht="13.9" thickBot="1" x14ac:dyDescent="0.4"/>
    <row r="41" spans="1:13" ht="28.15" thickBot="1" x14ac:dyDescent="0.4">
      <c r="A41" s="36" t="s">
        <v>16</v>
      </c>
      <c r="B41" s="36" t="s">
        <v>20</v>
      </c>
      <c r="C41" s="36" t="s">
        <v>21</v>
      </c>
      <c r="D41" s="36" t="s">
        <v>27</v>
      </c>
      <c r="E41" s="47" t="s">
        <v>30</v>
      </c>
      <c r="F41" s="46" t="s">
        <v>25</v>
      </c>
      <c r="G41" s="46" t="s">
        <v>26</v>
      </c>
    </row>
    <row r="42" spans="1:13" ht="13.9" x14ac:dyDescent="0.4">
      <c r="A42" s="37">
        <v>22</v>
      </c>
      <c r="B42" s="39">
        <v>717.5</v>
      </c>
      <c r="C42" s="31">
        <v>8066.5</v>
      </c>
      <c r="D42" s="45">
        <v>0.21943021402550089</v>
      </c>
      <c r="E42" s="45">
        <v>1.2014320568647541</v>
      </c>
      <c r="F42" s="45">
        <v>1.2189948770491803</v>
      </c>
      <c r="G42" s="45">
        <v>1.1838692366803278</v>
      </c>
      <c r="H42" s="41">
        <f>$C$13</f>
        <v>1.5</v>
      </c>
    </row>
    <row r="43" spans="1:13" ht="13.9" x14ac:dyDescent="0.4">
      <c r="A43" s="38">
        <v>23</v>
      </c>
      <c r="B43" s="39">
        <v>573.5</v>
      </c>
      <c r="C43" s="31">
        <v>8210.5</v>
      </c>
      <c r="D43" s="45">
        <v>0.20549578779599273</v>
      </c>
      <c r="E43" s="45">
        <v>1.1961021388319673</v>
      </c>
      <c r="F43" s="45">
        <v>1.2139784836065575</v>
      </c>
      <c r="G43" s="45">
        <v>1.178225794057377</v>
      </c>
      <c r="H43" s="41">
        <f t="shared" ref="H43:H52" si="0">$C$13</f>
        <v>1.5</v>
      </c>
    </row>
    <row r="44" spans="1:13" ht="13.9" x14ac:dyDescent="0.4">
      <c r="A44" s="38">
        <v>24</v>
      </c>
      <c r="B44" s="39">
        <v>448.5</v>
      </c>
      <c r="C44" s="31">
        <v>8335.5</v>
      </c>
      <c r="D44" s="45">
        <v>0.19339993169398909</v>
      </c>
      <c r="E44" s="45">
        <v>1.1914754738729507</v>
      </c>
      <c r="F44" s="45">
        <v>1.2096239754098361</v>
      </c>
      <c r="G44" s="45">
        <v>1.1733269723360655</v>
      </c>
      <c r="H44" s="41">
        <f t="shared" si="0"/>
        <v>1.5</v>
      </c>
    </row>
    <row r="45" spans="1:13" ht="13.9" x14ac:dyDescent="0.4">
      <c r="A45" s="38">
        <v>25</v>
      </c>
      <c r="B45" s="39">
        <v>344</v>
      </c>
      <c r="C45" s="31">
        <v>8440</v>
      </c>
      <c r="D45" s="45">
        <v>0.18328779599271403</v>
      </c>
      <c r="E45" s="45">
        <v>1.1876075819672132</v>
      </c>
      <c r="F45" s="45">
        <v>1.205983606557377</v>
      </c>
      <c r="G45" s="45">
        <v>1.1692315573770491</v>
      </c>
      <c r="H45" s="41">
        <f t="shared" si="0"/>
        <v>1.5</v>
      </c>
    </row>
    <row r="46" spans="1:13" ht="13.9" x14ac:dyDescent="0.4">
      <c r="A46" s="38">
        <v>26</v>
      </c>
      <c r="B46" s="39">
        <v>269.5</v>
      </c>
      <c r="C46" s="31">
        <v>8514.5</v>
      </c>
      <c r="D46" s="45">
        <v>0.17607866575591985</v>
      </c>
      <c r="E46" s="45">
        <v>1.1848500896516394</v>
      </c>
      <c r="F46" s="45">
        <v>1.2033883196721311</v>
      </c>
      <c r="G46" s="45">
        <v>1.1663118596311475</v>
      </c>
      <c r="H46" s="41">
        <f t="shared" si="0"/>
        <v>1.5</v>
      </c>
    </row>
    <row r="47" spans="1:13" ht="13.9" x14ac:dyDescent="0.4">
      <c r="A47" s="38">
        <v>27</v>
      </c>
      <c r="B47" s="39">
        <v>196</v>
      </c>
      <c r="C47" s="31">
        <v>8588</v>
      </c>
      <c r="D47" s="45">
        <v>0.16896630236794172</v>
      </c>
      <c r="E47" s="45">
        <v>1.1821296106557377</v>
      </c>
      <c r="F47" s="45">
        <v>1.200827868852459</v>
      </c>
      <c r="G47" s="45">
        <v>1.1634313524590163</v>
      </c>
      <c r="H47" s="41">
        <f t="shared" si="0"/>
        <v>1.5</v>
      </c>
    </row>
    <row r="48" spans="1:13" ht="13.9" x14ac:dyDescent="0.4">
      <c r="A48" s="38">
        <v>28</v>
      </c>
      <c r="B48" s="39">
        <v>135</v>
      </c>
      <c r="C48" s="31">
        <v>8649</v>
      </c>
      <c r="D48" s="45">
        <v>0.16306352459016393</v>
      </c>
      <c r="E48" s="45">
        <v>1.1798717981557376</v>
      </c>
      <c r="F48" s="45">
        <v>1.198702868852459</v>
      </c>
      <c r="G48" s="45">
        <v>1.1610407274590164</v>
      </c>
      <c r="H48" s="41">
        <f t="shared" si="0"/>
        <v>1.5</v>
      </c>
    </row>
    <row r="49" spans="1:8" ht="13.9" x14ac:dyDescent="0.4">
      <c r="A49" s="38">
        <v>29</v>
      </c>
      <c r="B49" s="39">
        <v>77.5</v>
      </c>
      <c r="C49" s="31">
        <v>8706.5</v>
      </c>
      <c r="D49" s="45">
        <v>0.15749943078324224</v>
      </c>
      <c r="E49" s="45">
        <v>1.1777435322745902</v>
      </c>
      <c r="F49" s="45">
        <v>1.1966997950819671</v>
      </c>
      <c r="G49" s="45">
        <v>1.1587872694672132</v>
      </c>
      <c r="H49" s="41">
        <f t="shared" si="0"/>
        <v>1.5</v>
      </c>
    </row>
    <row r="50" spans="1:8" ht="13.9" x14ac:dyDescent="0.4">
      <c r="A50" s="38">
        <v>30</v>
      </c>
      <c r="B50" s="39">
        <v>46</v>
      </c>
      <c r="C50" s="31">
        <v>8738</v>
      </c>
      <c r="D50" s="45">
        <v>0.15445127504553735</v>
      </c>
      <c r="E50" s="45">
        <v>1.1765776127049179</v>
      </c>
      <c r="F50" s="45">
        <v>1.1956024590163934</v>
      </c>
      <c r="G50" s="45">
        <v>1.1575527663934426</v>
      </c>
      <c r="H50" s="41">
        <f t="shared" si="0"/>
        <v>1.5</v>
      </c>
    </row>
    <row r="51" spans="1:8" ht="13.9" x14ac:dyDescent="0.4">
      <c r="A51" s="38">
        <v>31</v>
      </c>
      <c r="B51" s="39">
        <v>23</v>
      </c>
      <c r="C51" s="31">
        <v>8761</v>
      </c>
      <c r="D51" s="45">
        <v>0.15222563752276866</v>
      </c>
      <c r="E51" s="45">
        <v>1.175726306352459</v>
      </c>
      <c r="F51" s="45">
        <v>1.1948012295081967</v>
      </c>
      <c r="G51" s="45">
        <v>1.1566513831967213</v>
      </c>
      <c r="H51" s="41">
        <f t="shared" si="0"/>
        <v>1.5</v>
      </c>
    </row>
    <row r="52" spans="1:8" ht="14.25" thickBot="1" x14ac:dyDescent="0.45">
      <c r="A52" s="40">
        <v>32</v>
      </c>
      <c r="B52" s="39">
        <v>10.5</v>
      </c>
      <c r="C52" s="31">
        <v>8773.5</v>
      </c>
      <c r="D52" s="45">
        <v>0.15101605191256828</v>
      </c>
      <c r="E52" s="45">
        <v>1.1752636398565572</v>
      </c>
      <c r="F52" s="45">
        <v>1.1943657786885247</v>
      </c>
      <c r="G52" s="45">
        <v>1.1561615010245903</v>
      </c>
      <c r="H52" s="41">
        <f t="shared" si="0"/>
        <v>1.5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3BFC6-0FB3-46E8-B580-2026E52DE8E2}">
  <sheetPr codeName="Tabelle4"/>
  <dimension ref="A1:L13"/>
  <sheetViews>
    <sheetView workbookViewId="0">
      <selection activeCell="G26" sqref="G26"/>
    </sheetView>
  </sheetViews>
  <sheetFormatPr baseColWidth="10" defaultRowHeight="13.5" x14ac:dyDescent="0.35"/>
  <sheetData>
    <row r="1" spans="1:12" ht="14.25" thickBot="1" x14ac:dyDescent="0.45">
      <c r="A1" s="11"/>
      <c r="B1" s="12">
        <v>22</v>
      </c>
      <c r="C1" s="13">
        <v>23</v>
      </c>
      <c r="D1" s="13">
        <v>24</v>
      </c>
      <c r="E1" s="13">
        <v>25</v>
      </c>
      <c r="F1" s="13">
        <v>26</v>
      </c>
      <c r="G1" s="13">
        <v>27</v>
      </c>
      <c r="H1" s="13">
        <v>28</v>
      </c>
      <c r="I1" s="13">
        <v>29</v>
      </c>
      <c r="J1" s="13">
        <v>30</v>
      </c>
      <c r="K1" s="13">
        <v>31</v>
      </c>
      <c r="L1" s="14">
        <v>32</v>
      </c>
    </row>
    <row r="2" spans="1:12" ht="13.9" x14ac:dyDescent="0.35">
      <c r="A2" s="15"/>
      <c r="B2" s="16"/>
      <c r="C2" s="16"/>
      <c r="D2" s="16"/>
      <c r="E2" s="16"/>
      <c r="F2" s="16"/>
      <c r="G2" s="16"/>
      <c r="H2" s="16"/>
      <c r="I2" s="16"/>
      <c r="J2" s="16"/>
      <c r="K2" s="16"/>
      <c r="L2" s="34"/>
    </row>
    <row r="3" spans="1:12" ht="13.9" x14ac:dyDescent="0.35">
      <c r="A3" s="15"/>
      <c r="B3" s="16"/>
      <c r="C3" s="16"/>
      <c r="D3" s="16"/>
      <c r="E3" s="16"/>
      <c r="F3" s="16"/>
      <c r="G3" s="16"/>
      <c r="H3" s="16"/>
      <c r="I3" s="16"/>
      <c r="J3" s="16"/>
      <c r="K3" s="16"/>
      <c r="L3" s="34"/>
    </row>
    <row r="4" spans="1:12" ht="14.25" thickBot="1" x14ac:dyDescent="0.4">
      <c r="A4" s="15"/>
      <c r="B4" s="16"/>
      <c r="C4" s="16"/>
      <c r="D4" s="16"/>
      <c r="E4" s="16"/>
      <c r="F4" s="16"/>
      <c r="G4" s="16"/>
      <c r="H4" s="16"/>
      <c r="I4" s="16"/>
      <c r="J4" s="16"/>
      <c r="K4" s="16"/>
      <c r="L4" s="34"/>
    </row>
    <row r="5" spans="1:12" ht="14.25" thickBot="1" x14ac:dyDescent="0.45">
      <c r="A5" s="18" t="s">
        <v>6</v>
      </c>
      <c r="B5" s="19"/>
      <c r="C5" s="20"/>
      <c r="D5" s="20"/>
      <c r="E5" s="20"/>
      <c r="F5" s="20"/>
      <c r="G5" s="20"/>
      <c r="H5" s="20"/>
      <c r="I5" s="20"/>
      <c r="J5" s="20"/>
      <c r="K5" s="20"/>
      <c r="L5" s="21"/>
    </row>
    <row r="6" spans="1:12" ht="28.15" thickBot="1" x14ac:dyDescent="0.4">
      <c r="A6" s="17" t="s">
        <v>7</v>
      </c>
      <c r="B6" s="22"/>
      <c r="C6" s="23"/>
      <c r="D6" s="23"/>
      <c r="E6" s="23"/>
      <c r="F6" s="23"/>
      <c r="G6" s="23"/>
      <c r="H6" s="23"/>
      <c r="I6" s="23"/>
      <c r="J6" s="23"/>
      <c r="K6" s="23"/>
      <c r="L6" s="24"/>
    </row>
    <row r="7" spans="1:12" ht="14.25" thickBot="1" x14ac:dyDescent="0.4">
      <c r="A7" s="32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ht="14.25" thickBot="1" x14ac:dyDescent="0.45">
      <c r="A8" s="11"/>
      <c r="B8" s="12">
        <v>22</v>
      </c>
      <c r="C8" s="13">
        <v>23</v>
      </c>
      <c r="D8" s="13">
        <v>24</v>
      </c>
      <c r="E8" s="13">
        <v>25</v>
      </c>
      <c r="F8" s="13">
        <v>26</v>
      </c>
      <c r="G8" s="13">
        <v>27</v>
      </c>
      <c r="H8" s="13">
        <v>28</v>
      </c>
      <c r="I8" s="13">
        <v>29</v>
      </c>
      <c r="J8" s="13">
        <v>30</v>
      </c>
      <c r="K8" s="13">
        <v>31</v>
      </c>
      <c r="L8" s="14">
        <v>32</v>
      </c>
    </row>
    <row r="9" spans="1:12" ht="13.9" x14ac:dyDescent="0.35">
      <c r="A9" s="15"/>
      <c r="B9" s="31"/>
      <c r="C9" s="31"/>
      <c r="D9" s="31"/>
      <c r="E9" s="31"/>
      <c r="F9" s="31"/>
      <c r="G9" s="31"/>
      <c r="H9" s="31"/>
      <c r="I9" s="31"/>
      <c r="J9" s="31"/>
      <c r="K9" s="31"/>
      <c r="L9" s="35"/>
    </row>
    <row r="10" spans="1:12" ht="13.9" x14ac:dyDescent="0.35">
      <c r="A10" s="15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5"/>
    </row>
    <row r="11" spans="1:12" ht="14.25" thickBot="1" x14ac:dyDescent="0.4">
      <c r="A11" s="15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5"/>
    </row>
    <row r="12" spans="1:12" ht="14.25" thickBot="1" x14ac:dyDescent="0.45">
      <c r="A12" s="18" t="s">
        <v>6</v>
      </c>
      <c r="B12" s="25"/>
      <c r="C12" s="26"/>
      <c r="D12" s="26"/>
      <c r="E12" s="26"/>
      <c r="F12" s="26"/>
      <c r="G12" s="26"/>
      <c r="H12" s="26"/>
      <c r="I12" s="26"/>
      <c r="J12" s="26"/>
      <c r="K12" s="26"/>
      <c r="L12" s="27"/>
    </row>
    <row r="13" spans="1:12" ht="28.15" thickBot="1" x14ac:dyDescent="0.4">
      <c r="A13" s="17" t="s">
        <v>7</v>
      </c>
      <c r="B13" s="28"/>
      <c r="C13" s="29"/>
      <c r="D13" s="29"/>
      <c r="E13" s="29"/>
      <c r="F13" s="29"/>
      <c r="G13" s="29"/>
      <c r="H13" s="29"/>
      <c r="I13" s="29"/>
      <c r="J13" s="29"/>
      <c r="K13" s="29"/>
      <c r="L13" s="30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Programm</vt:lpstr>
      <vt:lpstr>Auswertung_Zeit</vt:lpstr>
      <vt:lpstr>Auswertung_PUE</vt:lpstr>
      <vt:lpstr>Format-Vorlage-Tabellen</vt:lpstr>
    </vt:vector>
  </TitlesOfParts>
  <Company>Bayerisches Landesamt für Steuern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Eisenhut, Katharina (LfSt)</dc:creator>
  <cp:lastModifiedBy>Cauchy Ironhead</cp:lastModifiedBy>
  <dcterms:created xsi:type="dcterms:W3CDTF">2026-06-17T06:54:17Z</dcterms:created>
  <dcterms:modified xsi:type="dcterms:W3CDTF">2026-06-22T17:44:47Z</dcterms:modified>
</cp:coreProperties>
</file>